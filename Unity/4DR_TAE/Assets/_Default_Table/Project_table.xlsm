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5.xml" ContentType="application/vnd.ms-office.activeX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6.xml" ContentType="application/vnd.ms-office.activeX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activeX/activeX7.xml" ContentType="application/vnd.ms-office.activeX+xml"/>
  <Override PartName="/xl/comments7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8.xml" ContentType="application/vnd.openxmlformats-officedocument.drawing+xml"/>
  <Override PartName="/xl/activeX/activeX8.xml" ContentType="application/vnd.ms-office.activeX+xml"/>
  <Override PartName="/xl/comments8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9.xml" ContentType="application/vnd.openxmlformats-officedocument.drawing+xml"/>
  <Override PartName="/xl/activeX/activeX9.xml" ContentType="application/vnd.ms-office.activeX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현재_통합_문서" defaultThemeVersion="124226"/>
  <bookViews>
    <workbookView xWindow="15" yWindow="165" windowWidth="19395" windowHeight="15450" tabRatio="845" activeTab="6"/>
  </bookViews>
  <sheets>
    <sheet name="Base" sheetId="2" r:id="rId1"/>
    <sheet name="message_table" sheetId="40" r:id="rId2"/>
    <sheet name="Effect table" sheetId="41" r:id="rId3"/>
    <sheet name="Effect list" sheetId="42" r:id="rId4"/>
    <sheet name="Unity_Camera_Test" sheetId="43" r:id="rId5"/>
    <sheet name="Unity_Camera_Test (2)" sheetId="44" r:id="rId6"/>
    <sheet name="Unity_Camera_Test (3)" sheetId="45" r:id="rId7"/>
    <sheet name="상점_루비" sheetId="11" state="hidden" r:id="rId8"/>
    <sheet name="상점_아이템" sheetId="18" state="hidden" r:id="rId9"/>
  </sheet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45" l="1"/>
  <c r="C2" i="45"/>
  <c r="C4" i="44" l="1"/>
  <c r="C2" i="44"/>
  <c r="C4" i="43" l="1"/>
  <c r="C2" i="43"/>
  <c r="C4" i="42"/>
  <c r="C2" i="42"/>
  <c r="C4" i="41"/>
  <c r="C2" i="41"/>
  <c r="C4" i="40" l="1"/>
  <c r="C2" i="40"/>
  <c r="C4" i="18"/>
  <c r="C2" i="18"/>
  <c r="C4" i="11"/>
  <c r="C2" i="11"/>
  <c r="C4" i="2"/>
  <c r="C2" i="2"/>
</calcChain>
</file>

<file path=xl/comments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4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5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6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7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8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9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sharedStrings.xml><?xml version="1.0" encoding="utf-8"?>
<sst xmlns="http://schemas.openxmlformats.org/spreadsheetml/2006/main" count="353" uniqueCount="191">
  <si>
    <t>테스트 테이블</t>
    <phoneticPr fontId="2" type="noConversion"/>
  </si>
  <si>
    <t>test1</t>
    <phoneticPr fontId="2" type="noConversion"/>
  </si>
  <si>
    <t>test2</t>
    <phoneticPr fontId="2" type="noConversion"/>
  </si>
  <si>
    <t>tset3</t>
    <phoneticPr fontId="2" type="noConversion"/>
  </si>
  <si>
    <t>tset4</t>
  </si>
  <si>
    <t>tset5</t>
  </si>
  <si>
    <t>tset6</t>
  </si>
  <si>
    <t>tset7</t>
  </si>
  <si>
    <t>tset8</t>
  </si>
  <si>
    <t>tset9</t>
  </si>
  <si>
    <t>tset10</t>
  </si>
  <si>
    <t>tset11</t>
  </si>
  <si>
    <t>tset12</t>
  </si>
  <si>
    <t>tset13</t>
  </si>
  <si>
    <t>tset14</t>
  </si>
  <si>
    <t>tset15</t>
  </si>
  <si>
    <t>tset16</t>
  </si>
  <si>
    <t>tset17</t>
  </si>
  <si>
    <t>tset18</t>
  </si>
  <si>
    <t>tset19</t>
  </si>
  <si>
    <t>tset20</t>
  </si>
  <si>
    <t>tset21</t>
  </si>
  <si>
    <t>tset22</t>
  </si>
  <si>
    <t>tset23</t>
  </si>
  <si>
    <t>cnt</t>
    <phoneticPr fontId="2" type="noConversion"/>
  </si>
  <si>
    <t>utf8</t>
    <phoneticPr fontId="2" type="noConversion"/>
  </si>
  <si>
    <t>,</t>
    <phoneticPr fontId="2" type="noConversion"/>
  </si>
  <si>
    <t>filename</t>
  </si>
  <si>
    <t>filename3</t>
  </si>
  <si>
    <t>option</t>
  </si>
  <si>
    <t>index.</t>
  </si>
  <si>
    <t>startline</t>
  </si>
  <si>
    <t>tablecnt</t>
  </si>
  <si>
    <t>csv header</t>
  </si>
  <si>
    <t>reg_dt</t>
  </si>
  <si>
    <t>/</t>
    <phoneticPr fontId="2" type="noConversion"/>
  </si>
  <si>
    <t>NULL</t>
  </si>
  <si>
    <t>shop_id</t>
  </si>
  <si>
    <t>shop_name</t>
  </si>
  <si>
    <t>flag</t>
  </si>
  <si>
    <t>cash</t>
  </si>
  <si>
    <t>reward_type</t>
  </si>
  <si>
    <t>reward_value</t>
  </si>
  <si>
    <t>reward_count</t>
  </si>
  <si>
    <t>shop_img</t>
  </si>
  <si>
    <t>5천원</t>
  </si>
  <si>
    <t>url</t>
  </si>
  <si>
    <t>1만원</t>
  </si>
  <si>
    <t>3만원</t>
  </si>
  <si>
    <t>5만원</t>
  </si>
  <si>
    <t>10만원</t>
  </si>
  <si>
    <t>tb_shop</t>
    <phoneticPr fontId="2" type="noConversion"/>
  </si>
  <si>
    <t>등록시각</t>
    <phoneticPr fontId="2" type="noConversion"/>
  </si>
  <si>
    <t>상점id</t>
    <phoneticPr fontId="2" type="noConversion"/>
  </si>
  <si>
    <t>상점명</t>
    <phoneticPr fontId="2" type="noConversion"/>
  </si>
  <si>
    <t>현금가격</t>
    <phoneticPr fontId="2" type="noConversion"/>
  </si>
  <si>
    <t>보상값</t>
    <phoneticPr fontId="2" type="noConversion"/>
  </si>
  <si>
    <t>이미지</t>
    <phoneticPr fontId="2" type="noConversion"/>
  </si>
  <si>
    <t>플래그
( 0: 사용안함
 1: 사용)</t>
    <phoneticPr fontId="2" type="noConversion"/>
  </si>
  <si>
    <t>보상타입
( 1: 게임머니
  2:  루비
  3: 포커칩 )</t>
    <phoneticPr fontId="2" type="noConversion"/>
  </si>
  <si>
    <t>item_id</t>
  </si>
  <si>
    <t>item_name</t>
  </si>
  <si>
    <t>item_type</t>
  </si>
  <si>
    <t>card_type</t>
  </si>
  <si>
    <t>dur_day</t>
  </si>
  <si>
    <t>use_ruby</t>
  </si>
  <si>
    <t>BLUE 1일 이용권</t>
  </si>
  <si>
    <t>BLUE 5일 이용권</t>
  </si>
  <si>
    <t>BLUE 10일 이용권</t>
  </si>
  <si>
    <t>GREEN 5일 이용권</t>
  </si>
  <si>
    <t>GREEN 10일 이용권</t>
  </si>
  <si>
    <t>COLOR CARD 1일 이용권</t>
  </si>
  <si>
    <t>COLOR CARD 10일 이용권</t>
  </si>
  <si>
    <t>상점_루비_판매</t>
    <phoneticPr fontId="2" type="noConversion"/>
  </si>
  <si>
    <t>상점_아이템_판매</t>
    <phoneticPr fontId="2" type="noConversion"/>
  </si>
  <si>
    <t>tb_item</t>
    <phoneticPr fontId="2" type="noConversion"/>
  </si>
  <si>
    <t>아이템id</t>
    <phoneticPr fontId="2" type="noConversion"/>
  </si>
  <si>
    <t>아이템명</t>
    <phoneticPr fontId="2" type="noConversion"/>
  </si>
  <si>
    <t>보상카운트
(사용안함)</t>
    <phoneticPr fontId="2" type="noConversion"/>
  </si>
  <si>
    <t>지속기간</t>
    <phoneticPr fontId="2" type="noConversion"/>
  </si>
  <si>
    <t>소모루비</t>
    <phoneticPr fontId="2" type="noConversion"/>
  </si>
  <si>
    <t>reward_type_1</t>
    <phoneticPr fontId="2" type="noConversion"/>
  </si>
  <si>
    <t>reward_value_1</t>
    <phoneticPr fontId="2" type="noConversion"/>
  </si>
  <si>
    <t>아이템타입
1000 : 카드앞면
2000 : 카드뒷면</t>
    <phoneticPr fontId="2" type="noConversion"/>
  </si>
  <si>
    <t>카드타입
1100 : BLUE
1200 : GREEN
2100 : COLOR CARD</t>
    <phoneticPr fontId="2" type="noConversion"/>
  </si>
  <si>
    <t>foldername/</t>
    <phoneticPr fontId="2" type="noConversion"/>
  </si>
  <si>
    <t>message_table</t>
    <phoneticPr fontId="2" type="noConversion"/>
  </si>
  <si>
    <t>cancel_cmd</t>
    <phoneticPr fontId="2" type="noConversion"/>
  </si>
  <si>
    <t>ok_next_message</t>
    <phoneticPr fontId="2" type="noConversion"/>
  </si>
  <si>
    <t>Message table</t>
    <phoneticPr fontId="2" type="noConversion"/>
  </si>
  <si>
    <t>atlas_name</t>
    <phoneticPr fontId="2" type="noConversion"/>
  </si>
  <si>
    <t>sprite_name</t>
    <phoneticPr fontId="2" type="noConversion"/>
  </si>
  <si>
    <t>tb_effect_table</t>
  </si>
  <si>
    <t>Effect table</t>
  </si>
  <si>
    <t>Effect list'!B11</t>
  </si>
  <si>
    <t xml:space="preserve">Effect list의 index 값
</t>
  </si>
  <si>
    <t>index</t>
  </si>
  <si>
    <t>power_min</t>
  </si>
  <si>
    <t>pwer_max</t>
  </si>
  <si>
    <t>effect_index</t>
  </si>
  <si>
    <t>scaleX</t>
  </si>
  <si>
    <t>scaleY</t>
  </si>
  <si>
    <t>scaleZ</t>
  </si>
  <si>
    <t>etc</t>
  </si>
  <si>
    <t>cnt</t>
    <phoneticPr fontId="2" type="noConversion"/>
  </si>
  <si>
    <t>l_effect_list</t>
  </si>
  <si>
    <t>,</t>
    <phoneticPr fontId="2" type="noConversion"/>
  </si>
  <si>
    <t>Effect list</t>
  </si>
  <si>
    <t>unity path</t>
  </si>
  <si>
    <t>prefab name</t>
  </si>
  <si>
    <t>resources_path</t>
  </si>
  <si>
    <t>pfb_name</t>
  </si>
  <si>
    <t>Common/_Default_Effect/TAE/</t>
  </si>
  <si>
    <t>ROUND1</t>
  </si>
  <si>
    <t>1라운드 시작</t>
  </si>
  <si>
    <t>ROUND2</t>
  </si>
  <si>
    <t>2라운드 시작</t>
  </si>
  <si>
    <t>ROUND3</t>
  </si>
  <si>
    <t>3라운드 시작</t>
  </si>
  <si>
    <t>BLUE_WIN</t>
  </si>
  <si>
    <t>BLUE_LOSE</t>
  </si>
  <si>
    <t>RED_WIN</t>
  </si>
  <si>
    <t>RED_LOSE</t>
  </si>
  <si>
    <t>HIT_HEAD</t>
  </si>
  <si>
    <t>HIT_HAND</t>
  </si>
  <si>
    <t>HIT_BODY_LOW</t>
  </si>
  <si>
    <t>HIT_BODY_MIDDLE</t>
  </si>
  <si>
    <t>HIT_BODY_STRONG</t>
  </si>
  <si>
    <t>HIT_BODY_AWESOME</t>
  </si>
  <si>
    <t>PENALTY</t>
  </si>
  <si>
    <t>cnt</t>
    <phoneticPr fontId="2" type="noConversion"/>
  </si>
  <si>
    <t>/</t>
    <phoneticPr fontId="2" type="noConversion"/>
  </si>
  <si>
    <t>t_unity_cv_ctl_test_00</t>
  </si>
  <si>
    <t>utf8</t>
    <phoneticPr fontId="2" type="noConversion"/>
  </si>
  <si>
    <t>,</t>
    <phoneticPr fontId="2" type="noConversion"/>
  </si>
  <si>
    <t>Unity Camera + Video CTL Test</t>
  </si>
  <si>
    <t>NONE = -1,_x000D_
DEFAULT = 0,_x000D_
PLAY = 1,_x000D_
PAUSE = 2,_x000D_
ZOOM = 3,_x000D_
LOOKAT = 4,_x000D_
CHANNEL = 5,_x000D_
EFFECT = 6,_x000D_
TEXT = 7,
CHANNEL_TO = 8</t>
  </si>
  <si>
    <t>#FECC35FE</t>
  </si>
  <si>
    <t>Unity Camera + Video CTL commands			_x000D_
	lookat {0}/{1}	//x, y	카메라를 특정 화면 위치로 이동 시키기_x000D_
	zoom {0}	//1 ~ 0.1	화면 확대/축소/기본 등_x000D_
	default		기본(?) 값으로_x000D_
	pause {0}	//sec	정지 시키기 - {0} 초가 0이 아닌경우 {0} 초 동안_x000D_
	play		다시 플레이 시키기_x000D_
	channel {0}	//+-숫자	해당 숫자만큼 채널 이동시키기_x000D_
	effect {0}/{1}/{2}	//x, y, effectIndex	effectindex를 {0} {1}의 좌표에 생성하기_x000D_
	text {0}/{1}/{2}/{3}	//x, y, str, backcolor	str(Unity NGUI BBCODE)을 backcolor(label 배경 색)으로 {0} {1} 좌표에 생성 - 노출 시간은...?_x000D_
	channel_to {0}	//channel index	해당 채널로 이동(leap)</t>
  </si>
  <si>
    <t>frame</t>
  </si>
  <si>
    <t>command</t>
  </si>
  <si>
    <t>value_0</t>
  </si>
  <si>
    <t>value_1</t>
  </si>
  <si>
    <t>value_2</t>
  </si>
  <si>
    <t>value_3</t>
  </si>
  <si>
    <t>value_4</t>
  </si>
  <si>
    <t>DEFAULT</t>
  </si>
  <si>
    <t xml:space="preserve">zoom 100퍼 / play 상태로 </t>
  </si>
  <si>
    <t>PLAY</t>
  </si>
  <si>
    <t>플레이로</t>
  </si>
  <si>
    <t>PAUSE</t>
  </si>
  <si>
    <t>다시 플레이 하기전까지 계속 정지</t>
  </si>
  <si>
    <t>screen.width/screen.ehgith</t>
  </si>
  <si>
    <t>0.3초 정지</t>
  </si>
  <si>
    <t>ZOOM</t>
  </si>
  <si>
    <t>1 ~ 0.1 // 1이 100퍼 0.5가 200퍼 // 1/200*100 = 0.5</t>
  </si>
  <si>
    <t>좌표계에 대한 정의 필요 할 듯 영상의 좌표값 to unity screen 좌표로 등</t>
  </si>
  <si>
    <t>LOOKAT</t>
  </si>
  <si>
    <t>LOOKAT인 경우는 zoom을 0.5(200퍼)로 해준다</t>
  </si>
  <si>
    <t>CHANNEL</t>
  </si>
  <si>
    <t>현재 채널에서 +5(오른쪽?) 으로 leap</t>
  </si>
  <si>
    <t>현재 채널에서 -3(왼쪽?) 으로 leap</t>
  </si>
  <si>
    <t>0,0</t>
  </si>
  <si>
    <t>EFFECT</t>
  </si>
  <si>
    <t>100, 200 좌표에 effect_list의 3번 index 이팩트 생성</t>
  </si>
  <si>
    <t>TEXT</t>
  </si>
  <si>
    <t>[FFFF64]동해물과[-]</t>
  </si>
  <si>
    <t>#FFFFFFFF</t>
  </si>
  <si>
    <t>500, 500 좌표에 노란색(ngui bbcode 사용)으로 동해물과를 그린다. 배경색은 #FFFFFFF(RGBA)</t>
  </si>
  <si>
    <t>CHANNEL_TO</t>
  </si>
  <si>
    <t>지정 채널로 leap</t>
  </si>
  <si>
    <t>t_unity_cv_ctl_test_MBC_TEST03</t>
    <phoneticPr fontId="2" type="noConversion"/>
  </si>
  <si>
    <t>pfb_effect_test</t>
  </si>
  <si>
    <t>임시 테스트용</t>
  </si>
  <si>
    <t>블루 승리</t>
  </si>
  <si>
    <t>블루 패배</t>
  </si>
  <si>
    <t>레드 승리</t>
  </si>
  <si>
    <t>레드 패배</t>
  </si>
  <si>
    <t>머리 타격</t>
  </si>
  <si>
    <t>주먹 타격</t>
  </si>
  <si>
    <t>몸통 약한 타격</t>
  </si>
  <si>
    <t>몸통 중간 타격</t>
  </si>
  <si>
    <t>몸통 강한 타격</t>
  </si>
  <si>
    <t>몸통 추가 강한 타격</t>
  </si>
  <si>
    <t xml:space="preserve">페널티 획득시 </t>
  </si>
  <si>
    <t>#000000FF</t>
  </si>
  <si>
    <t>[FFFF64]동해물과 백두산이 마르고 마르고 마르고 마르고 마르고[-]</t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</si>
  <si>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</si>
  <si>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../Resources/Common/_Default_Table/CameraScript/</t>
    <phoneticPr fontId="2" type="noConversion"/>
  </si>
  <si>
    <t>t_cs_channel_change</t>
    <phoneticPr fontId="2" type="noConversion"/>
  </si>
  <si>
    <t>ZOOM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</si>
</sst>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77" formatCode="0.00_);[Red]\(0.00\)"/>
    <numFmt numFmtId="178" formatCode="_-[$€-2]* #,##0.00_-;\-[$€-2]* #,##0.00_-;_-[$€-2]* &quot;-&quot;??_-"/>
  </numFmts>
  <fonts count="38" x14ac:knownFonts="1">
    <font>
      <sz val="11"/>
      <color theme="1"/>
      <name val="맑은 고딕"/>
      <family val="2"/>
      <charset val="129"/>
      <scheme val="minor"/>
    </font>
    <font>
      <sz val="10"/>
      <color theme="1" tint="0.34998626667073579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22"/>
      <color theme="1" tint="0.3499862666707357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돋움"/>
      <family val="2"/>
      <charset val="129"/>
    </font>
    <font>
      <u/>
      <sz val="9.35"/>
      <color theme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theme="1"/>
      <name val="굴림체"/>
      <family val="2"/>
      <charset val="129"/>
    </font>
    <font>
      <sz val="9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10"/>
      <color theme="1"/>
      <name val="굴림체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0"/>
      <color rgb="FF595959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4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6933C"/>
        <bgColor rgb="FF000000"/>
      </patternFill>
    </fill>
    <fill>
      <patternFill patternType="solid">
        <fgColor rgb="FFFFFFFF"/>
        <bgColor rgb="FF000000"/>
      </patternFill>
    </fill>
  </fills>
  <borders count="12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574">
    <xf numFmtId="0" fontId="0" fillId="0" borderId="0">
      <alignment vertical="center"/>
    </xf>
    <xf numFmtId="0" fontId="13" fillId="0" borderId="0">
      <alignment vertical="center"/>
    </xf>
    <xf numFmtId="0" fontId="15" fillId="0" borderId="0" applyNumberFormat="0" applyFill="0" applyBorder="0" applyAlignment="0" applyProtection="0">
      <alignment vertical="top"/>
      <protection locked="0"/>
    </xf>
    <xf numFmtId="177" fontId="16" fillId="9" borderId="8">
      <alignment vertical="center"/>
    </xf>
    <xf numFmtId="176" fontId="17" fillId="10" borderId="7">
      <alignment vertical="center"/>
    </xf>
    <xf numFmtId="41" fontId="18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2" fillId="0" borderId="0">
      <alignment vertical="center"/>
    </xf>
    <xf numFmtId="0" fontId="18" fillId="0" borderId="0"/>
    <xf numFmtId="0" fontId="24" fillId="11" borderId="0" applyNumberFormat="0" applyBorder="0" applyAlignment="0" applyProtection="0">
      <alignment vertical="center"/>
    </xf>
    <xf numFmtId="178" fontId="23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4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42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4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31" fillId="8" borderId="6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35" fillId="0" borderId="0" applyNumberForma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1" fillId="2" borderId="4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7" fillId="4" borderId="1" xfId="0" applyFont="1" applyFill="1" applyBorder="1" applyAlignment="1">
      <alignment horizontal="left" vertical="top"/>
    </xf>
    <xf numFmtId="0" fontId="7" fillId="4" borderId="2" xfId="0" applyFont="1" applyFill="1" applyBorder="1" applyAlignment="1">
      <alignment horizontal="left" vertical="top"/>
    </xf>
    <xf numFmtId="0" fontId="0" fillId="5" borderId="0" xfId="0" applyFill="1">
      <alignment vertical="center"/>
    </xf>
    <xf numFmtId="0" fontId="8" fillId="5" borderId="0" xfId="0" applyFont="1" applyFill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0" fillId="2" borderId="0" xfId="0" applyFont="1" applyFill="1" applyBorder="1">
      <alignment vertical="center"/>
    </xf>
    <xf numFmtId="0" fontId="9" fillId="2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11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2" borderId="0" xfId="0" applyFill="1">
      <alignment vertical="center"/>
    </xf>
    <xf numFmtId="0" fontId="10" fillId="15" borderId="0" xfId="0" applyFont="1" applyFill="1" applyBorder="1">
      <alignment vertical="center"/>
    </xf>
    <xf numFmtId="14" fontId="0" fillId="0" borderId="0" xfId="0" applyNumberFormat="1">
      <alignment vertical="center"/>
    </xf>
    <xf numFmtId="47" fontId="0" fillId="0" borderId="0" xfId="0" applyNumberFormat="1">
      <alignment vertical="center"/>
    </xf>
    <xf numFmtId="176" fontId="1" fillId="2" borderId="5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0" fontId="7" fillId="4" borderId="10" xfId="0" applyFont="1" applyFill="1" applyBorder="1" applyAlignment="1">
      <alignment horizontal="left" vertical="top"/>
    </xf>
    <xf numFmtId="0" fontId="7" fillId="4" borderId="11" xfId="0" applyFont="1" applyFill="1" applyBorder="1" applyAlignment="1">
      <alignment horizontal="left" vertical="top"/>
    </xf>
    <xf numFmtId="0" fontId="1" fillId="2" borderId="9" xfId="0" applyFont="1" applyFill="1" applyBorder="1">
      <alignment vertical="center"/>
    </xf>
    <xf numFmtId="14" fontId="1" fillId="2" borderId="9" xfId="0" applyNumberFormat="1" applyFont="1" applyFill="1" applyBorder="1">
      <alignment vertical="center"/>
    </xf>
    <xf numFmtId="0" fontId="0" fillId="0" borderId="9" xfId="0" applyBorder="1">
      <alignment vertical="center"/>
    </xf>
    <xf numFmtId="14" fontId="0" fillId="0" borderId="9" xfId="0" applyNumberFormat="1" applyBorder="1">
      <alignment vertical="center"/>
    </xf>
    <xf numFmtId="176" fontId="1" fillId="2" borderId="9" xfId="0" applyNumberFormat="1" applyFont="1" applyFill="1" applyBorder="1">
      <alignment vertical="center"/>
    </xf>
    <xf numFmtId="176" fontId="0" fillId="0" borderId="9" xfId="0" applyNumberFormat="1" applyBorder="1">
      <alignment vertical="center"/>
    </xf>
    <xf numFmtId="47" fontId="0" fillId="0" borderId="9" xfId="0" applyNumberFormat="1" applyBorder="1">
      <alignment vertical="center"/>
    </xf>
    <xf numFmtId="0" fontId="1" fillId="2" borderId="0" xfId="0" applyFont="1" applyFill="1" applyAlignment="1">
      <alignment vertical="center" wrapText="1"/>
    </xf>
    <xf numFmtId="0" fontId="0" fillId="0" borderId="0" xfId="0">
      <alignment vertical="center"/>
    </xf>
    <xf numFmtId="14" fontId="1" fillId="2" borderId="5" xfId="0" applyNumberFormat="1" applyFont="1" applyFill="1" applyBorder="1">
      <alignment vertical="center"/>
    </xf>
    <xf numFmtId="0" fontId="7" fillId="16" borderId="1" xfId="0" applyFont="1" applyFill="1" applyBorder="1" applyAlignment="1">
      <alignment horizontal="left" vertical="top"/>
    </xf>
    <xf numFmtId="0" fontId="7" fillId="16" borderId="2" xfId="0" applyFont="1" applyFill="1" applyBorder="1" applyAlignment="1">
      <alignment horizontal="left" vertical="top"/>
    </xf>
    <xf numFmtId="0" fontId="7" fillId="16" borderId="3" xfId="0" applyFont="1" applyFill="1" applyBorder="1" applyAlignment="1">
      <alignment horizontal="left" vertical="top"/>
    </xf>
    <xf numFmtId="0" fontId="7" fillId="16" borderId="10" xfId="0" applyFont="1" applyFill="1" applyBorder="1" applyAlignment="1">
      <alignment horizontal="left" vertical="top"/>
    </xf>
    <xf numFmtId="0" fontId="7" fillId="16" borderId="11" xfId="0" applyFont="1" applyFill="1" applyBorder="1" applyAlignment="1">
      <alignment horizontal="left" vertical="top"/>
    </xf>
    <xf numFmtId="0" fontId="8" fillId="5" borderId="0" xfId="0" applyFont="1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1" fillId="2" borderId="9" xfId="0" applyFont="1" applyFill="1" applyBorder="1">
      <alignment vertical="center"/>
    </xf>
    <xf numFmtId="0" fontId="0" fillId="0" borderId="9" xfId="0" applyBorder="1">
      <alignment vertical="center"/>
    </xf>
    <xf numFmtId="0" fontId="35" fillId="2" borderId="0" xfId="573" quotePrefix="1" applyFill="1">
      <alignment vertical="center"/>
    </xf>
    <xf numFmtId="0" fontId="36" fillId="17" borderId="10" xfId="0" applyFont="1" applyFill="1" applyBorder="1" applyAlignment="1">
      <alignment horizontal="left" vertical="top"/>
    </xf>
    <xf numFmtId="0" fontId="36" fillId="17" borderId="11" xfId="0" applyFont="1" applyFill="1" applyBorder="1" applyAlignment="1">
      <alignment horizontal="left" vertical="top"/>
    </xf>
    <xf numFmtId="0" fontId="37" fillId="18" borderId="9" xfId="0" applyFont="1" applyFill="1" applyBorder="1">
      <alignment vertical="center"/>
    </xf>
  </cellXfs>
  <cellStyles count="574">
    <cellStyle name="40% - 강조색6 2 38" xfId="22"/>
    <cellStyle name="40% - 강조색6 2 38 2" xfId="478"/>
    <cellStyle name="Euro" xfId="23"/>
    <cellStyle name="main title" xfId="3"/>
    <cellStyle name="Normal 2" xfId="17"/>
    <cellStyle name="Normal 2 2" xfId="468"/>
    <cellStyle name="Normal 2 2 2" xfId="481"/>
    <cellStyle name="Normal 2 2 3" xfId="482"/>
    <cellStyle name="Normal 2 2 4" xfId="483"/>
    <cellStyle name="Normal 2 2 5" xfId="480"/>
    <cellStyle name="Normal 2 3" xfId="484"/>
    <cellStyle name="Normal 2 4" xfId="485"/>
    <cellStyle name="Normal 2 5" xfId="486"/>
    <cellStyle name="Normal 2 6" xfId="479"/>
    <cellStyle name="sub title" xfId="4"/>
    <cellStyle name="경고문 10" xfId="24"/>
    <cellStyle name="경고문 10 2" xfId="487"/>
    <cellStyle name="경고문 2" xfId="25"/>
    <cellStyle name="나쁨 2" xfId="488"/>
    <cellStyle name="나쁨 3" xfId="489"/>
    <cellStyle name="나쁨 4" xfId="490"/>
    <cellStyle name="나쁨 5" xfId="491"/>
    <cellStyle name="백분율 2" xfId="469"/>
    <cellStyle name="백분율 2 2" xfId="493"/>
    <cellStyle name="백분율 2 3" xfId="494"/>
    <cellStyle name="백분율 2 4" xfId="495"/>
    <cellStyle name="백분율 2 5" xfId="492"/>
    <cellStyle name="보통 10" xfId="26"/>
    <cellStyle name="보통 10 2" xfId="496"/>
    <cellStyle name="보통 2" xfId="27"/>
    <cellStyle name="쉼표 [0] 2" xfId="5"/>
    <cellStyle name="좋음 10" xfId="28"/>
    <cellStyle name="좋음 2" xfId="29"/>
    <cellStyle name="출력 2" xfId="497"/>
    <cellStyle name="통화 [0] 2" xfId="6"/>
    <cellStyle name="통화 [0] 2 2" xfId="466"/>
    <cellStyle name="통화 [0] 2 2 2" xfId="500"/>
    <cellStyle name="통화 [0] 2 2 3" xfId="501"/>
    <cellStyle name="통화 [0] 2 2 4" xfId="502"/>
    <cellStyle name="통화 [0] 2 2 5" xfId="499"/>
    <cellStyle name="통화 [0] 2 3" xfId="503"/>
    <cellStyle name="통화 [0] 2 4" xfId="504"/>
    <cellStyle name="통화 [0] 2 5" xfId="505"/>
    <cellStyle name="통화 [0] 2 6" xfId="498"/>
    <cellStyle name="표준" xfId="0" builtinId="0"/>
    <cellStyle name="표준 10" xfId="7"/>
    <cellStyle name="표준 10 10" xfId="30"/>
    <cellStyle name="표준 10 11" xfId="31"/>
    <cellStyle name="표준 10 12" xfId="32"/>
    <cellStyle name="표준 10 13" xfId="33"/>
    <cellStyle name="표준 10 14" xfId="34"/>
    <cellStyle name="표준 10 15" xfId="35"/>
    <cellStyle name="표준 10 16" xfId="36"/>
    <cellStyle name="표준 10 17" xfId="37"/>
    <cellStyle name="표준 10 18" xfId="38"/>
    <cellStyle name="표준 10 19" xfId="39"/>
    <cellStyle name="표준 10 2" xfId="40"/>
    <cellStyle name="표준 10 20" xfId="41"/>
    <cellStyle name="표준 10 21" xfId="42"/>
    <cellStyle name="표준 10 22" xfId="43"/>
    <cellStyle name="표준 10 23" xfId="44"/>
    <cellStyle name="표준 10 24" xfId="45"/>
    <cellStyle name="표준 10 25" xfId="46"/>
    <cellStyle name="표준 10 26" xfId="47"/>
    <cellStyle name="표준 10 27" xfId="48"/>
    <cellStyle name="표준 10 28" xfId="49"/>
    <cellStyle name="표준 10 29" xfId="50"/>
    <cellStyle name="표준 10 3" xfId="51"/>
    <cellStyle name="표준 10 30" xfId="52"/>
    <cellStyle name="표준 10 31" xfId="53"/>
    <cellStyle name="표준 10 32" xfId="54"/>
    <cellStyle name="표준 10 33" xfId="55"/>
    <cellStyle name="표준 10 34" xfId="56"/>
    <cellStyle name="표준 10 35" xfId="57"/>
    <cellStyle name="표준 10 36" xfId="58"/>
    <cellStyle name="표준 10 37" xfId="59"/>
    <cellStyle name="표준 10 38" xfId="60"/>
    <cellStyle name="표준 10 39" xfId="61"/>
    <cellStyle name="표준 10 4" xfId="62"/>
    <cellStyle name="표준 10 40" xfId="63"/>
    <cellStyle name="표준 10 41" xfId="64"/>
    <cellStyle name="표준 10 42" xfId="65"/>
    <cellStyle name="표준 10 43" xfId="66"/>
    <cellStyle name="표준 10 44" xfId="67"/>
    <cellStyle name="표준 10 45" xfId="68"/>
    <cellStyle name="표준 10 46" xfId="69"/>
    <cellStyle name="표준 10 47" xfId="70"/>
    <cellStyle name="표준 10 48" xfId="71"/>
    <cellStyle name="표준 10 49" xfId="72"/>
    <cellStyle name="표준 10 5" xfId="73"/>
    <cellStyle name="표준 10 50" xfId="74"/>
    <cellStyle name="표준 10 51" xfId="75"/>
    <cellStyle name="표준 10 52" xfId="76"/>
    <cellStyle name="표준 10 53" xfId="77"/>
    <cellStyle name="표준 10 54" xfId="78"/>
    <cellStyle name="표준 10 55" xfId="79"/>
    <cellStyle name="표준 10 56" xfId="80"/>
    <cellStyle name="표준 10 6" xfId="81"/>
    <cellStyle name="표준 10 7" xfId="82"/>
    <cellStyle name="표준 10 8" xfId="83"/>
    <cellStyle name="표준 10 9" xfId="84"/>
    <cellStyle name="표준 11" xfId="8"/>
    <cellStyle name="표준 11 10" xfId="85"/>
    <cellStyle name="표준 11 11" xfId="86"/>
    <cellStyle name="표준 11 12" xfId="87"/>
    <cellStyle name="표준 11 13" xfId="88"/>
    <cellStyle name="표준 11 14" xfId="89"/>
    <cellStyle name="표준 11 15" xfId="90"/>
    <cellStyle name="표준 11 16" xfId="91"/>
    <cellStyle name="표준 11 17" xfId="92"/>
    <cellStyle name="표준 11 18" xfId="93"/>
    <cellStyle name="표준 11 19" xfId="94"/>
    <cellStyle name="표준 11 2" xfId="95"/>
    <cellStyle name="표준 11 20" xfId="96"/>
    <cellStyle name="표준 11 21" xfId="507"/>
    <cellStyle name="표준 11 22" xfId="508"/>
    <cellStyle name="표준 11 23" xfId="509"/>
    <cellStyle name="표준 11 24" xfId="506"/>
    <cellStyle name="표준 11 3" xfId="97"/>
    <cellStyle name="표준 11 4" xfId="98"/>
    <cellStyle name="표준 11 5" xfId="99"/>
    <cellStyle name="표준 11 6" xfId="100"/>
    <cellStyle name="표준 11 7" xfId="101"/>
    <cellStyle name="표준 11 8" xfId="102"/>
    <cellStyle name="표준 11 9" xfId="103"/>
    <cellStyle name="표준 12" xfId="9"/>
    <cellStyle name="표준 12 2" xfId="467"/>
    <cellStyle name="표준 12 2 2" xfId="512"/>
    <cellStyle name="표준 12 2 3" xfId="513"/>
    <cellStyle name="표준 12 2 4" xfId="514"/>
    <cellStyle name="표준 12 2 5" xfId="511"/>
    <cellStyle name="표준 12 3" xfId="515"/>
    <cellStyle name="표준 12 4" xfId="516"/>
    <cellStyle name="표준 12 5" xfId="517"/>
    <cellStyle name="표준 12 6" xfId="510"/>
    <cellStyle name="표준 13" xfId="18"/>
    <cellStyle name="표준 13 10" xfId="104"/>
    <cellStyle name="표준 13 11" xfId="105"/>
    <cellStyle name="표준 13 12" xfId="106"/>
    <cellStyle name="표준 13 13" xfId="107"/>
    <cellStyle name="표준 13 14" xfId="108"/>
    <cellStyle name="표준 13 15" xfId="109"/>
    <cellStyle name="표준 13 16" xfId="110"/>
    <cellStyle name="표준 13 17" xfId="111"/>
    <cellStyle name="표준 13 18" xfId="112"/>
    <cellStyle name="표준 13 19" xfId="113"/>
    <cellStyle name="표준 13 2" xfId="114"/>
    <cellStyle name="표준 13 20" xfId="115"/>
    <cellStyle name="표준 13 3" xfId="116"/>
    <cellStyle name="표준 13 4" xfId="117"/>
    <cellStyle name="표준 13 5" xfId="118"/>
    <cellStyle name="표준 13 6" xfId="119"/>
    <cellStyle name="표준 13 7" xfId="120"/>
    <cellStyle name="표준 13 8" xfId="121"/>
    <cellStyle name="표준 13 9" xfId="122"/>
    <cellStyle name="표준 14" xfId="460"/>
    <cellStyle name="표준 14 2" xfId="475"/>
    <cellStyle name="표준 14 2 2" xfId="520"/>
    <cellStyle name="표준 14 2 3" xfId="521"/>
    <cellStyle name="표준 14 2 4" xfId="522"/>
    <cellStyle name="표준 14 2 5" xfId="519"/>
    <cellStyle name="표준 14 3" xfId="523"/>
    <cellStyle name="표준 14 4" xfId="524"/>
    <cellStyle name="표준 14 5" xfId="525"/>
    <cellStyle name="표준 14 6" xfId="518"/>
    <cellStyle name="표준 15" xfId="470"/>
    <cellStyle name="표준 15 2" xfId="527"/>
    <cellStyle name="표준 15 3" xfId="528"/>
    <cellStyle name="표준 15 4" xfId="529"/>
    <cellStyle name="표준 15 5" xfId="526"/>
    <cellStyle name="표준 16" xfId="464"/>
    <cellStyle name="표준 16 2" xfId="531"/>
    <cellStyle name="표준 16 3" xfId="532"/>
    <cellStyle name="표준 16 4" xfId="533"/>
    <cellStyle name="표준 16 5" xfId="530"/>
    <cellStyle name="표준 17" xfId="123"/>
    <cellStyle name="표준 18" xfId="477"/>
    <cellStyle name="표준 18 2" xfId="535"/>
    <cellStyle name="표준 18 3" xfId="536"/>
    <cellStyle name="표준 18 4" xfId="537"/>
    <cellStyle name="표준 18 5" xfId="534"/>
    <cellStyle name="표준 19" xfId="20"/>
    <cellStyle name="표준 19 2" xfId="539"/>
    <cellStyle name="표준 19 3" xfId="540"/>
    <cellStyle name="표준 19 4" xfId="541"/>
    <cellStyle name="표준 19 5" xfId="538"/>
    <cellStyle name="표준 2" xfId="10"/>
    <cellStyle name="표준 2 10" xfId="124"/>
    <cellStyle name="표준 2 11" xfId="125"/>
    <cellStyle name="표준 2 12" xfId="126"/>
    <cellStyle name="표준 2 13" xfId="127"/>
    <cellStyle name="표준 2 14" xfId="128"/>
    <cellStyle name="표준 2 15" xfId="129"/>
    <cellStyle name="표준 2 16" xfId="130"/>
    <cellStyle name="표준 2 17" xfId="131"/>
    <cellStyle name="표준 2 18" xfId="132"/>
    <cellStyle name="표준 2 19" xfId="133"/>
    <cellStyle name="표준 2 2" xfId="134"/>
    <cellStyle name="표준 2 20" xfId="135"/>
    <cellStyle name="표준 2 21" xfId="136"/>
    <cellStyle name="표준 2 22" xfId="137"/>
    <cellStyle name="표준 2 23" xfId="138"/>
    <cellStyle name="표준 2 24" xfId="139"/>
    <cellStyle name="표준 2 25" xfId="140"/>
    <cellStyle name="표준 2 26" xfId="141"/>
    <cellStyle name="표준 2 27" xfId="142"/>
    <cellStyle name="표준 2 28" xfId="143"/>
    <cellStyle name="표준 2 29" xfId="144"/>
    <cellStyle name="표준 2 3" xfId="145"/>
    <cellStyle name="표준 2 30" xfId="146"/>
    <cellStyle name="표준 2 31" xfId="147"/>
    <cellStyle name="표준 2 32" xfId="148"/>
    <cellStyle name="표준 2 33" xfId="149"/>
    <cellStyle name="표준 2 34" xfId="150"/>
    <cellStyle name="표준 2 35" xfId="151"/>
    <cellStyle name="표준 2 36" xfId="152"/>
    <cellStyle name="표준 2 37" xfId="153"/>
    <cellStyle name="표준 2 38" xfId="154"/>
    <cellStyle name="표준 2 39" xfId="155"/>
    <cellStyle name="표준 2 4" xfId="156"/>
    <cellStyle name="표준 2 40" xfId="157"/>
    <cellStyle name="표준 2 41" xfId="158"/>
    <cellStyle name="표준 2 42" xfId="159"/>
    <cellStyle name="표준 2 43" xfId="160"/>
    <cellStyle name="표준 2 44" xfId="161"/>
    <cellStyle name="표준 2 45" xfId="162"/>
    <cellStyle name="표준 2 46" xfId="163"/>
    <cellStyle name="표준 2 47" xfId="164"/>
    <cellStyle name="표준 2 48" xfId="165"/>
    <cellStyle name="표준 2 49" xfId="166"/>
    <cellStyle name="표준 2 5" xfId="167"/>
    <cellStyle name="표준 2 50" xfId="168"/>
    <cellStyle name="표준 2 51" xfId="169"/>
    <cellStyle name="표준 2 52" xfId="170"/>
    <cellStyle name="표준 2 53" xfId="171"/>
    <cellStyle name="표준 2 54" xfId="172"/>
    <cellStyle name="표준 2 55" xfId="173"/>
    <cellStyle name="표준 2 56" xfId="174"/>
    <cellStyle name="표준 2 56 2" xfId="175"/>
    <cellStyle name="표준 2 56 2 2" xfId="176"/>
    <cellStyle name="표준 2 56 2 2 2" xfId="177"/>
    <cellStyle name="표준 2 56 2 2 2 2" xfId="178"/>
    <cellStyle name="표준 2 56 2 3" xfId="179"/>
    <cellStyle name="표준 2 56 2 4" xfId="180"/>
    <cellStyle name="표준 2 56 2 5" xfId="181"/>
    <cellStyle name="표준 2 56 2 6" xfId="182"/>
    <cellStyle name="표준 2 56 2 7" xfId="183"/>
    <cellStyle name="표준 2 56 2 8" xfId="184"/>
    <cellStyle name="표준 2 56 3" xfId="185"/>
    <cellStyle name="표준 2 56 4" xfId="186"/>
    <cellStyle name="표준 2 56 5" xfId="187"/>
    <cellStyle name="표준 2 56 6" xfId="188"/>
    <cellStyle name="표준 2 56 7" xfId="189"/>
    <cellStyle name="표준 2 56 8" xfId="190"/>
    <cellStyle name="표준 2 56 9" xfId="191"/>
    <cellStyle name="표준 2 57" xfId="192"/>
    <cellStyle name="표준 2 57 2" xfId="193"/>
    <cellStyle name="표준 2 57 2 2" xfId="194"/>
    <cellStyle name="표준 2 58" xfId="195"/>
    <cellStyle name="표준 2 59" xfId="196"/>
    <cellStyle name="표준 2 59 2" xfId="197"/>
    <cellStyle name="표준 2 59 2 2" xfId="198"/>
    <cellStyle name="표준 2 6" xfId="199"/>
    <cellStyle name="표준 2 60" xfId="200"/>
    <cellStyle name="표준 2 60 2" xfId="201"/>
    <cellStyle name="표준 2 60 2 2" xfId="202"/>
    <cellStyle name="표준 2 61" xfId="203"/>
    <cellStyle name="표준 2 62" xfId="204"/>
    <cellStyle name="표준 2 63" xfId="205"/>
    <cellStyle name="표준 2 64" xfId="206"/>
    <cellStyle name="표준 2 65" xfId="207"/>
    <cellStyle name="표준 2 66" xfId="471"/>
    <cellStyle name="표준 2 67" xfId="21"/>
    <cellStyle name="표준 2 68" xfId="572"/>
    <cellStyle name="표준 2 7" xfId="208"/>
    <cellStyle name="표준 2 8" xfId="209"/>
    <cellStyle name="표준 2 9" xfId="210"/>
    <cellStyle name="표준 20" xfId="542"/>
    <cellStyle name="표준 21" xfId="543"/>
    <cellStyle name="표준 22" xfId="544"/>
    <cellStyle name="표준 3" xfId="11"/>
    <cellStyle name="표준 3 2" xfId="212"/>
    <cellStyle name="표준 3 3" xfId="213"/>
    <cellStyle name="표준 3 4" xfId="214"/>
    <cellStyle name="표준 3 5" xfId="215"/>
    <cellStyle name="표준 3 6" xfId="216"/>
    <cellStyle name="표준 3 7" xfId="462"/>
    <cellStyle name="표준 3 8" xfId="472"/>
    <cellStyle name="표준 3 9" xfId="211"/>
    <cellStyle name="표준 4" xfId="12"/>
    <cellStyle name="표준 4 2" xfId="463"/>
    <cellStyle name="표준 4 3" xfId="474"/>
    <cellStyle name="표준 4 3 2" xfId="546"/>
    <cellStyle name="표준 4 3 3" xfId="547"/>
    <cellStyle name="표준 4 3 4" xfId="548"/>
    <cellStyle name="표준 4 3 5" xfId="545"/>
    <cellStyle name="표준 4 4" xfId="459"/>
    <cellStyle name="표준 4 4 2" xfId="550"/>
    <cellStyle name="표준 4 4 3" xfId="551"/>
    <cellStyle name="표준 4 4 4" xfId="552"/>
    <cellStyle name="표준 4 4 5" xfId="549"/>
    <cellStyle name="표준 5" xfId="13"/>
    <cellStyle name="표준 5 10" xfId="217"/>
    <cellStyle name="표준 5 11" xfId="218"/>
    <cellStyle name="표준 5 12" xfId="219"/>
    <cellStyle name="표준 5 13" xfId="220"/>
    <cellStyle name="표준 5 14" xfId="221"/>
    <cellStyle name="표준 5 15" xfId="222"/>
    <cellStyle name="표준 5 16" xfId="223"/>
    <cellStyle name="표준 5 17" xfId="224"/>
    <cellStyle name="표준 5 18" xfId="225"/>
    <cellStyle name="표준 5 19" xfId="226"/>
    <cellStyle name="표준 5 2" xfId="227"/>
    <cellStyle name="표준 5 20" xfId="228"/>
    <cellStyle name="표준 5 21" xfId="229"/>
    <cellStyle name="표준 5 22" xfId="230"/>
    <cellStyle name="표준 5 23" xfId="231"/>
    <cellStyle name="표준 5 24" xfId="232"/>
    <cellStyle name="표준 5 25" xfId="233"/>
    <cellStyle name="표준 5 26" xfId="234"/>
    <cellStyle name="표준 5 27" xfId="235"/>
    <cellStyle name="표준 5 28" xfId="236"/>
    <cellStyle name="표준 5 29" xfId="237"/>
    <cellStyle name="표준 5 3" xfId="238"/>
    <cellStyle name="표준 5 30" xfId="239"/>
    <cellStyle name="표준 5 31" xfId="240"/>
    <cellStyle name="표준 5 32" xfId="241"/>
    <cellStyle name="표준 5 33" xfId="242"/>
    <cellStyle name="표준 5 34" xfId="243"/>
    <cellStyle name="표준 5 35" xfId="244"/>
    <cellStyle name="표준 5 36" xfId="245"/>
    <cellStyle name="표준 5 37" xfId="246"/>
    <cellStyle name="표준 5 38" xfId="247"/>
    <cellStyle name="표준 5 39" xfId="248"/>
    <cellStyle name="표준 5 4" xfId="249"/>
    <cellStyle name="표준 5 40" xfId="250"/>
    <cellStyle name="표준 5 41" xfId="251"/>
    <cellStyle name="표준 5 42" xfId="252"/>
    <cellStyle name="표준 5 43" xfId="253"/>
    <cellStyle name="표준 5 44" xfId="254"/>
    <cellStyle name="표준 5 45" xfId="255"/>
    <cellStyle name="표준 5 46" xfId="256"/>
    <cellStyle name="표준 5 47" xfId="257"/>
    <cellStyle name="표준 5 48" xfId="258"/>
    <cellStyle name="표준 5 49" xfId="259"/>
    <cellStyle name="표준 5 5" xfId="260"/>
    <cellStyle name="표준 5 50" xfId="261"/>
    <cellStyle name="표준 5 51" xfId="262"/>
    <cellStyle name="표준 5 52" xfId="263"/>
    <cellStyle name="표준 5 53" xfId="264"/>
    <cellStyle name="표준 5 54" xfId="265"/>
    <cellStyle name="표준 5 55" xfId="266"/>
    <cellStyle name="표준 5 56" xfId="267"/>
    <cellStyle name="표준 5 57" xfId="268"/>
    <cellStyle name="표준 5 58" xfId="269"/>
    <cellStyle name="표준 5 59" xfId="270"/>
    <cellStyle name="표준 5 6" xfId="271"/>
    <cellStyle name="표준 5 60" xfId="272"/>
    <cellStyle name="표준 5 61" xfId="273"/>
    <cellStyle name="표준 5 62" xfId="274"/>
    <cellStyle name="표준 5 63" xfId="275"/>
    <cellStyle name="표준 5 7" xfId="276"/>
    <cellStyle name="표준 5 8" xfId="277"/>
    <cellStyle name="표준 5 9" xfId="278"/>
    <cellStyle name="표준 6" xfId="14"/>
    <cellStyle name="표준 6 10" xfId="279"/>
    <cellStyle name="표준 6 11" xfId="280"/>
    <cellStyle name="표준 6 12" xfId="281"/>
    <cellStyle name="표준 6 13" xfId="282"/>
    <cellStyle name="표준 6 14" xfId="283"/>
    <cellStyle name="표준 6 15" xfId="284"/>
    <cellStyle name="표준 6 16" xfId="285"/>
    <cellStyle name="표준 6 17" xfId="286"/>
    <cellStyle name="표준 6 18" xfId="287"/>
    <cellStyle name="표준 6 19" xfId="288"/>
    <cellStyle name="표준 6 2" xfId="289"/>
    <cellStyle name="표준 6 20" xfId="290"/>
    <cellStyle name="표준 6 21" xfId="291"/>
    <cellStyle name="표준 6 22" xfId="292"/>
    <cellStyle name="표준 6 23" xfId="293"/>
    <cellStyle name="표준 6 24" xfId="294"/>
    <cellStyle name="표준 6 25" xfId="295"/>
    <cellStyle name="표준 6 26" xfId="296"/>
    <cellStyle name="표준 6 27" xfId="297"/>
    <cellStyle name="표준 6 28" xfId="298"/>
    <cellStyle name="표준 6 29" xfId="299"/>
    <cellStyle name="표준 6 3" xfId="300"/>
    <cellStyle name="표준 6 30" xfId="301"/>
    <cellStyle name="표준 6 31" xfId="302"/>
    <cellStyle name="표준 6 32" xfId="303"/>
    <cellStyle name="표준 6 33" xfId="304"/>
    <cellStyle name="표준 6 34" xfId="305"/>
    <cellStyle name="표준 6 35" xfId="306"/>
    <cellStyle name="표준 6 36" xfId="307"/>
    <cellStyle name="표준 6 37" xfId="308"/>
    <cellStyle name="표준 6 38" xfId="309"/>
    <cellStyle name="표준 6 39" xfId="310"/>
    <cellStyle name="표준 6 4" xfId="311"/>
    <cellStyle name="표준 6 40" xfId="312"/>
    <cellStyle name="표준 6 41" xfId="313"/>
    <cellStyle name="표준 6 42" xfId="314"/>
    <cellStyle name="표준 6 43" xfId="315"/>
    <cellStyle name="표준 6 44" xfId="316"/>
    <cellStyle name="표준 6 45" xfId="317"/>
    <cellStyle name="표준 6 46" xfId="318"/>
    <cellStyle name="표준 6 47" xfId="319"/>
    <cellStyle name="표준 6 48" xfId="320"/>
    <cellStyle name="표준 6 49" xfId="321"/>
    <cellStyle name="표준 6 5" xfId="322"/>
    <cellStyle name="표준 6 50" xfId="323"/>
    <cellStyle name="표준 6 51" xfId="324"/>
    <cellStyle name="표준 6 52" xfId="325"/>
    <cellStyle name="표준 6 53" xfId="326"/>
    <cellStyle name="표준 6 54" xfId="327"/>
    <cellStyle name="표준 6 55" xfId="328"/>
    <cellStyle name="표준 6 56" xfId="329"/>
    <cellStyle name="표준 6 57" xfId="330"/>
    <cellStyle name="표준 6 58" xfId="331"/>
    <cellStyle name="표준 6 59" xfId="332"/>
    <cellStyle name="표준 6 6" xfId="333"/>
    <cellStyle name="표준 6 60" xfId="334"/>
    <cellStyle name="표준 6 61" xfId="335"/>
    <cellStyle name="표준 6 62" xfId="336"/>
    <cellStyle name="표준 6 63" xfId="337"/>
    <cellStyle name="표준 6 7" xfId="338"/>
    <cellStyle name="표준 6 8" xfId="339"/>
    <cellStyle name="표준 6 9" xfId="340"/>
    <cellStyle name="표준 7" xfId="1"/>
    <cellStyle name="표준 7 10" xfId="342"/>
    <cellStyle name="표준 7 11" xfId="343"/>
    <cellStyle name="표준 7 12" xfId="344"/>
    <cellStyle name="표준 7 13" xfId="345"/>
    <cellStyle name="표준 7 14" xfId="346"/>
    <cellStyle name="표준 7 15" xfId="347"/>
    <cellStyle name="표준 7 16" xfId="348"/>
    <cellStyle name="표준 7 17" xfId="349"/>
    <cellStyle name="표준 7 18" xfId="350"/>
    <cellStyle name="표준 7 19" xfId="351"/>
    <cellStyle name="표준 7 2" xfId="352"/>
    <cellStyle name="표준 7 20" xfId="353"/>
    <cellStyle name="표준 7 21" xfId="354"/>
    <cellStyle name="표준 7 22" xfId="355"/>
    <cellStyle name="표준 7 23" xfId="356"/>
    <cellStyle name="표준 7 24" xfId="357"/>
    <cellStyle name="표준 7 25" xfId="358"/>
    <cellStyle name="표준 7 26" xfId="359"/>
    <cellStyle name="표준 7 27" xfId="360"/>
    <cellStyle name="표준 7 28" xfId="361"/>
    <cellStyle name="표준 7 29" xfId="362"/>
    <cellStyle name="표준 7 3" xfId="363"/>
    <cellStyle name="표준 7 30" xfId="364"/>
    <cellStyle name="표준 7 31" xfId="365"/>
    <cellStyle name="표준 7 32" xfId="366"/>
    <cellStyle name="표준 7 33" xfId="367"/>
    <cellStyle name="표준 7 34" xfId="368"/>
    <cellStyle name="표준 7 35" xfId="369"/>
    <cellStyle name="표준 7 36" xfId="370"/>
    <cellStyle name="표준 7 37" xfId="371"/>
    <cellStyle name="표준 7 38" xfId="372"/>
    <cellStyle name="표준 7 39" xfId="373"/>
    <cellStyle name="표준 7 4" xfId="374"/>
    <cellStyle name="표준 7 40" xfId="375"/>
    <cellStyle name="표준 7 41" xfId="376"/>
    <cellStyle name="표준 7 42" xfId="377"/>
    <cellStyle name="표준 7 43" xfId="378"/>
    <cellStyle name="표준 7 44" xfId="379"/>
    <cellStyle name="표준 7 45" xfId="380"/>
    <cellStyle name="표준 7 46" xfId="381"/>
    <cellStyle name="표준 7 47" xfId="382"/>
    <cellStyle name="표준 7 48" xfId="383"/>
    <cellStyle name="표준 7 49" xfId="384"/>
    <cellStyle name="표준 7 5" xfId="385"/>
    <cellStyle name="표준 7 50" xfId="386"/>
    <cellStyle name="표준 7 51" xfId="387"/>
    <cellStyle name="표준 7 52" xfId="388"/>
    <cellStyle name="표준 7 53" xfId="389"/>
    <cellStyle name="표준 7 54" xfId="390"/>
    <cellStyle name="표준 7 55" xfId="391"/>
    <cellStyle name="표준 7 56" xfId="392"/>
    <cellStyle name="표준 7 57" xfId="393"/>
    <cellStyle name="표준 7 58" xfId="394"/>
    <cellStyle name="표준 7 59" xfId="395"/>
    <cellStyle name="표준 7 6" xfId="396"/>
    <cellStyle name="표준 7 60" xfId="397"/>
    <cellStyle name="표준 7 61" xfId="398"/>
    <cellStyle name="표준 7 62" xfId="399"/>
    <cellStyle name="표준 7 63" xfId="400"/>
    <cellStyle name="표준 7 64" xfId="461"/>
    <cellStyle name="표준 7 64 2" xfId="476"/>
    <cellStyle name="표준 7 64 2 2" xfId="556"/>
    <cellStyle name="표준 7 64 2 3" xfId="557"/>
    <cellStyle name="표준 7 64 2 4" xfId="558"/>
    <cellStyle name="표준 7 64 2 5" xfId="555"/>
    <cellStyle name="표준 7 64 3" xfId="559"/>
    <cellStyle name="표준 7 64 4" xfId="560"/>
    <cellStyle name="표준 7 64 5" xfId="561"/>
    <cellStyle name="표준 7 64 6" xfId="554"/>
    <cellStyle name="표준 7 65" xfId="473"/>
    <cellStyle name="표준 7 66" xfId="465"/>
    <cellStyle name="표준 7 66 2" xfId="563"/>
    <cellStyle name="표준 7 66 3" xfId="564"/>
    <cellStyle name="표준 7 66 4" xfId="565"/>
    <cellStyle name="표준 7 66 5" xfId="562"/>
    <cellStyle name="표준 7 67" xfId="341"/>
    <cellStyle name="표준 7 68" xfId="566"/>
    <cellStyle name="표준 7 69" xfId="567"/>
    <cellStyle name="표준 7 7" xfId="401"/>
    <cellStyle name="표준 7 70" xfId="568"/>
    <cellStyle name="표준 7 71" xfId="553"/>
    <cellStyle name="표준 7 8" xfId="402"/>
    <cellStyle name="표준 7 9" xfId="403"/>
    <cellStyle name="표준 8" xfId="15"/>
    <cellStyle name="표준 8 10" xfId="404"/>
    <cellStyle name="표준 8 11" xfId="405"/>
    <cellStyle name="표준 8 12" xfId="406"/>
    <cellStyle name="표준 8 13" xfId="407"/>
    <cellStyle name="표준 8 14" xfId="408"/>
    <cellStyle name="표준 8 15" xfId="409"/>
    <cellStyle name="표준 8 16" xfId="410"/>
    <cellStyle name="표준 8 17" xfId="411"/>
    <cellStyle name="표준 8 18" xfId="412"/>
    <cellStyle name="표준 8 19" xfId="413"/>
    <cellStyle name="표준 8 2" xfId="414"/>
    <cellStyle name="표준 8 20" xfId="415"/>
    <cellStyle name="표준 8 21" xfId="416"/>
    <cellStyle name="표준 8 22" xfId="417"/>
    <cellStyle name="표준 8 23" xfId="418"/>
    <cellStyle name="표준 8 24" xfId="419"/>
    <cellStyle name="표준 8 25" xfId="420"/>
    <cellStyle name="표준 8 26" xfId="421"/>
    <cellStyle name="표준 8 27" xfId="422"/>
    <cellStyle name="표준 8 28" xfId="423"/>
    <cellStyle name="표준 8 29" xfId="424"/>
    <cellStyle name="표준 8 3" xfId="425"/>
    <cellStyle name="표준 8 30" xfId="426"/>
    <cellStyle name="표준 8 31" xfId="427"/>
    <cellStyle name="표준 8 32" xfId="428"/>
    <cellStyle name="표준 8 33" xfId="429"/>
    <cellStyle name="표준 8 34" xfId="430"/>
    <cellStyle name="표준 8 35" xfId="431"/>
    <cellStyle name="표준 8 36" xfId="432"/>
    <cellStyle name="표준 8 37" xfId="433"/>
    <cellStyle name="표준 8 38" xfId="434"/>
    <cellStyle name="표준 8 39" xfId="435"/>
    <cellStyle name="표준 8 4" xfId="436"/>
    <cellStyle name="표준 8 40" xfId="437"/>
    <cellStyle name="표준 8 41" xfId="438"/>
    <cellStyle name="표준 8 42" xfId="439"/>
    <cellStyle name="표준 8 43" xfId="440"/>
    <cellStyle name="표준 8 44" xfId="441"/>
    <cellStyle name="표준 8 45" xfId="442"/>
    <cellStyle name="표준 8 46" xfId="443"/>
    <cellStyle name="표준 8 47" xfId="444"/>
    <cellStyle name="표준 8 48" xfId="445"/>
    <cellStyle name="표준 8 49" xfId="446"/>
    <cellStyle name="표준 8 5" xfId="447"/>
    <cellStyle name="표준 8 50" xfId="448"/>
    <cellStyle name="표준 8 51" xfId="449"/>
    <cellStyle name="표준 8 52" xfId="450"/>
    <cellStyle name="표준 8 53" xfId="451"/>
    <cellStyle name="표준 8 54" xfId="452"/>
    <cellStyle name="표준 8 55" xfId="453"/>
    <cellStyle name="표준 8 56" xfId="454"/>
    <cellStyle name="표준 8 6" xfId="455"/>
    <cellStyle name="표준 8 7" xfId="456"/>
    <cellStyle name="표준 8 8" xfId="457"/>
    <cellStyle name="표준 8 9" xfId="458"/>
    <cellStyle name="표준 9" xfId="16"/>
    <cellStyle name="하이퍼링크" xfId="573" builtinId="8"/>
    <cellStyle name="하이퍼링크 2" xfId="2"/>
    <cellStyle name="하이퍼링크 3" xfId="19"/>
    <cellStyle name="하이퍼링크 4" xfId="569"/>
    <cellStyle name="하이퍼링크 5" xfId="570"/>
    <cellStyle name="하이퍼링크 6" xfId="57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7</xdr:col>
          <xdr:colOff>428625</xdr:colOff>
          <xdr:row>5</xdr:row>
          <xdr:rowOff>142875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628650</xdr:colOff>
          <xdr:row>5</xdr:row>
          <xdr:rowOff>142875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42340" name="CommandButton1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250EC52C-1140-47B6-988E-BA97213F7CCA}"/>
            </a:ext>
          </a:extLst>
        </xdr:cNvPr>
        <xdr:cNvSpPr/>
      </xdr:nvSpPr>
      <xdr:spPr bwMode="auto">
        <a:xfrm>
          <a:off x="56673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5</xdr:col>
          <xdr:colOff>790575</xdr:colOff>
          <xdr:row>5</xdr:row>
          <xdr:rowOff>104775</xdr:rowOff>
        </xdr:to>
        <xdr:sp macro="" textlink="">
          <xdr:nvSpPr>
            <xdr:cNvPr id="143364" name="CommandButton1" hidden="1">
              <a:extLst>
                <a:ext uri="{63B3BB69-23CF-44E3-9099-C40C66FF867C}">
                  <a14:compatExt spid="_x0000_s14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8029575</xdr:colOff>
      <xdr:row>8</xdr:row>
      <xdr:rowOff>314325</xdr:rowOff>
    </xdr:from>
    <xdr:to>
      <xdr:col>15</xdr:col>
      <xdr:colOff>257175</xdr:colOff>
      <xdr:row>9</xdr:row>
      <xdr:rowOff>2019300</xdr:rowOff>
    </xdr:to>
    <xdr:sp macro="" textlink="">
      <xdr:nvSpPr>
        <xdr:cNvPr id="3" name="직사각형 2">
          <a:extLst>
            <a:ext uri="{FF2B5EF4-FFF2-40B4-BE49-F238E27FC236}">
              <a16:creationId xmlns="" xmlns:a16="http://schemas.microsoft.com/office/drawing/2014/main" id="{F4F221C3-52B3-4CA5-AAD8-027F5329A68B}"/>
            </a:ext>
            <a:ext uri="{147F2762-F138-4A5C-976F-8EAC2B608ADB}">
              <a16:predDERef xmlns="" xmlns:a16="http://schemas.microsoft.com/office/drawing/2014/main" pred="{43E1D082-754B-4E17-9EE4-2AEE484054B1}"/>
            </a:ext>
          </a:extLst>
        </xdr:cNvPr>
        <xdr:cNvSpPr/>
      </xdr:nvSpPr>
      <xdr:spPr>
        <a:xfrm>
          <a:off x="20183475" y="1800225"/>
          <a:ext cx="3467100" cy="213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4388" name="CommandButton1" hidden="1">
              <a:extLst>
                <a:ext uri="{63B3BB69-23CF-44E3-9099-C40C66FF867C}">
                  <a14:compatExt spid="_x0000_s144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7457" name="CommandButton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6172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0529" name="CommandButton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1114425</xdr:colOff>
          <xdr:row>5</xdr:row>
          <xdr:rowOff>142875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819150</xdr:colOff>
          <xdr:row>5</xdr:row>
          <xdr:rowOff>142875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5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omments" Target="../comments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omments" Target="../comments7.xml"/><Relationship Id="rId4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8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9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workbookViewId="0">
      <selection activeCell="E35" sqref="E35"/>
    </sheetView>
  </sheetViews>
  <sheetFormatPr defaultRowHeight="16.5" x14ac:dyDescent="0.3"/>
  <cols>
    <col min="1" max="1" width="2.375" customWidth="1"/>
    <col min="3" max="3" width="9.625" customWidth="1"/>
  </cols>
  <sheetData>
    <row r="1" spans="1:25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5" s="10" customFormat="1" x14ac:dyDescent="0.25">
      <c r="A2" s="9" t="s">
        <v>24</v>
      </c>
      <c r="C2" s="24">
        <f>COUNTA(B12:B981)</f>
        <v>1</v>
      </c>
      <c r="D2" s="11"/>
      <c r="E2" s="11"/>
      <c r="F2" s="11"/>
      <c r="G2" s="11"/>
      <c r="H2" s="11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25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25" s="10" customFormat="1" x14ac:dyDescent="0.25">
      <c r="A4" s="9" t="s">
        <v>32</v>
      </c>
      <c r="C4" s="24">
        <f>COUNTA(B11:Y11)</f>
        <v>24</v>
      </c>
      <c r="D4" s="11"/>
      <c r="E4" s="11"/>
      <c r="F4" s="11"/>
      <c r="G4" s="13"/>
      <c r="H4" s="11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25" s="10" customFormat="1" x14ac:dyDescent="0.25">
      <c r="A5" s="9" t="s">
        <v>27</v>
      </c>
      <c r="C5" s="24" t="s">
        <v>85</v>
      </c>
      <c r="D5" s="11" t="s">
        <v>28</v>
      </c>
      <c r="E5" s="11"/>
      <c r="F5" s="11"/>
      <c r="G5" s="13"/>
      <c r="H5" s="11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5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25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5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25" s="1" customFormat="1" ht="33.75" x14ac:dyDescent="0.3">
      <c r="B9" s="2" t="s">
        <v>0</v>
      </c>
    </row>
    <row r="10" spans="1:25" s="1" customFormat="1" ht="15" x14ac:dyDescent="0.25"/>
    <row r="11" spans="1:25" s="1" customFormat="1" ht="27" customHeight="1" thickBot="1" x14ac:dyDescent="0.3">
      <c r="B11" s="41" t="s">
        <v>30</v>
      </c>
      <c r="C11" s="42" t="s">
        <v>1</v>
      </c>
      <c r="D11" s="42" t="s">
        <v>2</v>
      </c>
      <c r="E11" s="42" t="s">
        <v>3</v>
      </c>
      <c r="F11" s="42" t="s">
        <v>4</v>
      </c>
      <c r="G11" s="42" t="s">
        <v>5</v>
      </c>
      <c r="H11" s="42" t="s">
        <v>6</v>
      </c>
      <c r="I11" s="42" t="s">
        <v>7</v>
      </c>
      <c r="J11" s="42" t="s">
        <v>8</v>
      </c>
      <c r="K11" s="42" t="s">
        <v>9</v>
      </c>
      <c r="L11" s="42" t="s">
        <v>10</v>
      </c>
      <c r="M11" s="42" t="s">
        <v>11</v>
      </c>
      <c r="N11" s="42" t="s">
        <v>12</v>
      </c>
      <c r="O11" s="42" t="s">
        <v>13</v>
      </c>
      <c r="P11" s="42" t="s">
        <v>14</v>
      </c>
      <c r="Q11" s="42" t="s">
        <v>15</v>
      </c>
      <c r="R11" s="42" t="s">
        <v>16</v>
      </c>
      <c r="S11" s="42" t="s">
        <v>17</v>
      </c>
      <c r="T11" s="42" t="s">
        <v>18</v>
      </c>
      <c r="U11" s="42" t="s">
        <v>19</v>
      </c>
      <c r="V11" s="42" t="s">
        <v>20</v>
      </c>
      <c r="W11" s="42" t="s">
        <v>21</v>
      </c>
      <c r="X11" s="42" t="s">
        <v>22</v>
      </c>
      <c r="Y11" s="43" t="s">
        <v>23</v>
      </c>
    </row>
    <row r="12" spans="1:25" s="1" customFormat="1" ht="15" x14ac:dyDescent="0.25">
      <c r="B12" s="3">
        <v>0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7</xdr:col>
                <xdr:colOff>428625</xdr:colOff>
                <xdr:row>5</xdr:row>
                <xdr:rowOff>142875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5"/>
  <sheetViews>
    <sheetView workbookViewId="0">
      <selection activeCell="H6" sqref="H6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2.375" style="56" customWidth="1"/>
    <col min="4" max="4" width="11.25" style="56" bestFit="1" customWidth="1"/>
    <col min="5" max="5" width="10.25" style="56" bestFit="1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25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25">
      <c r="A2" s="9" t="s">
        <v>24</v>
      </c>
      <c r="C2" s="24">
        <f>COUNTA(B12:B981)</f>
        <v>4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25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25">
      <c r="A4" s="9" t="s">
        <v>32</v>
      </c>
      <c r="C4" s="24">
        <f>COUNTA(B11:F11)</f>
        <v>5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25">
      <c r="A5" s="9" t="s">
        <v>27</v>
      </c>
      <c r="C5" s="24" t="s">
        <v>35</v>
      </c>
      <c r="D5" s="47" t="s">
        <v>86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25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25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25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2.25" x14ac:dyDescent="0.25">
      <c r="B9" s="2" t="s">
        <v>89</v>
      </c>
    </row>
    <row r="10" spans="1:18" s="57" customFormat="1" ht="126" customHeight="1" x14ac:dyDescent="0.25"/>
    <row r="11" spans="1:18" s="57" customFormat="1" ht="27" customHeight="1" x14ac:dyDescent="0.25">
      <c r="B11" s="44" t="s">
        <v>30</v>
      </c>
      <c r="C11" s="45" t="s">
        <v>90</v>
      </c>
      <c r="D11" s="45" t="s">
        <v>91</v>
      </c>
      <c r="E11" s="45" t="s">
        <v>87</v>
      </c>
      <c r="F11" s="45" t="s">
        <v>88</v>
      </c>
    </row>
    <row r="12" spans="1:18" s="57" customFormat="1" ht="15" x14ac:dyDescent="0.25">
      <c r="B12" s="61">
        <v>0</v>
      </c>
      <c r="C12" s="61"/>
      <c r="D12" s="61"/>
      <c r="E12" s="61"/>
      <c r="F12" s="61"/>
    </row>
    <row r="13" spans="1:18" x14ac:dyDescent="0.25">
      <c r="B13" s="61">
        <v>1</v>
      </c>
      <c r="C13" s="61"/>
      <c r="D13" s="61"/>
      <c r="E13" s="61"/>
      <c r="F13" s="61"/>
    </row>
    <row r="14" spans="1:18" x14ac:dyDescent="0.25">
      <c r="B14" s="61">
        <v>2</v>
      </c>
      <c r="C14" s="61"/>
      <c r="D14" s="61"/>
      <c r="E14" s="61"/>
      <c r="F14" s="61"/>
    </row>
    <row r="15" spans="1:18" x14ac:dyDescent="0.25">
      <c r="B15" s="61">
        <v>3</v>
      </c>
      <c r="C15" s="61"/>
      <c r="D15" s="61"/>
      <c r="E15" s="61"/>
      <c r="F15" s="61"/>
    </row>
    <row r="16" spans="1:18" x14ac:dyDescent="0.25">
      <c r="B16" s="61"/>
      <c r="C16" s="61"/>
      <c r="D16" s="61"/>
      <c r="E16" s="61"/>
      <c r="F16" s="61"/>
    </row>
    <row r="17" spans="2:6" x14ac:dyDescent="0.25">
      <c r="B17" s="61"/>
      <c r="C17" s="61"/>
      <c r="D17" s="61"/>
      <c r="E17" s="61"/>
      <c r="F17" s="61"/>
    </row>
    <row r="18" spans="2:6" x14ac:dyDescent="0.25">
      <c r="B18" s="61"/>
      <c r="C18" s="61"/>
      <c r="D18" s="61"/>
      <c r="E18" s="61"/>
      <c r="F18" s="61"/>
    </row>
    <row r="19" spans="2:6" x14ac:dyDescent="0.25">
      <c r="B19" s="61"/>
      <c r="C19" s="61"/>
      <c r="D19" s="61"/>
      <c r="E19" s="61"/>
      <c r="F19" s="61"/>
    </row>
    <row r="20" spans="2:6" x14ac:dyDescent="0.25">
      <c r="B20" s="61"/>
      <c r="C20" s="61"/>
      <c r="D20" s="61"/>
      <c r="E20" s="61"/>
      <c r="F20" s="61"/>
    </row>
    <row r="21" spans="2:6" x14ac:dyDescent="0.25">
      <c r="B21" s="61"/>
      <c r="C21" s="61"/>
      <c r="D21" s="61"/>
      <c r="E21" s="61"/>
      <c r="F21" s="61"/>
    </row>
    <row r="22" spans="2:6" x14ac:dyDescent="0.25">
      <c r="B22" s="61"/>
      <c r="C22" s="61"/>
      <c r="D22" s="61"/>
      <c r="E22" s="61"/>
      <c r="F22" s="61"/>
    </row>
    <row r="23" spans="2:6" x14ac:dyDescent="0.25">
      <c r="B23" s="61"/>
      <c r="C23" s="61"/>
      <c r="D23" s="61"/>
      <c r="E23" s="61"/>
      <c r="F23" s="61"/>
    </row>
    <row r="24" spans="2:6" x14ac:dyDescent="0.25">
      <c r="B24" s="61"/>
      <c r="C24" s="61"/>
      <c r="D24" s="61"/>
      <c r="E24" s="61"/>
      <c r="F24" s="61"/>
    </row>
    <row r="25" spans="2:6" x14ac:dyDescent="0.25">
      <c r="B25" s="61"/>
      <c r="C25" s="61"/>
      <c r="D25" s="61"/>
      <c r="E25" s="61"/>
      <c r="F25" s="61"/>
    </row>
    <row r="26" spans="2:6" x14ac:dyDescent="0.25">
      <c r="B26" s="61"/>
      <c r="C26" s="61"/>
      <c r="D26" s="61"/>
      <c r="E26" s="61"/>
      <c r="F26" s="61"/>
    </row>
    <row r="27" spans="2:6" x14ac:dyDescent="0.25">
      <c r="B27" s="62"/>
      <c r="C27" s="62"/>
      <c r="D27" s="62"/>
      <c r="E27" s="62"/>
      <c r="F27" s="62"/>
    </row>
    <row r="28" spans="2:6" x14ac:dyDescent="0.25">
      <c r="B28" s="62"/>
      <c r="C28" s="62"/>
      <c r="D28" s="62"/>
      <c r="E28" s="62"/>
      <c r="F28" s="62"/>
    </row>
    <row r="29" spans="2:6" x14ac:dyDescent="0.25">
      <c r="B29" s="62"/>
      <c r="C29" s="62"/>
      <c r="D29" s="62"/>
      <c r="E29" s="62"/>
      <c r="F29" s="62"/>
    </row>
    <row r="30" spans="2:6" x14ac:dyDescent="0.25">
      <c r="B30" s="62"/>
      <c r="C30" s="62"/>
      <c r="D30" s="62"/>
      <c r="E30" s="62"/>
      <c r="F30" s="62"/>
    </row>
    <row r="31" spans="2:6" x14ac:dyDescent="0.25">
      <c r="B31" s="62"/>
      <c r="C31" s="62"/>
      <c r="D31" s="62"/>
      <c r="E31" s="62"/>
      <c r="F31" s="62"/>
    </row>
    <row r="32" spans="2:6" x14ac:dyDescent="0.25">
      <c r="B32" s="62"/>
      <c r="C32" s="62"/>
      <c r="D32" s="62"/>
      <c r="E32" s="62"/>
      <c r="F32" s="62"/>
    </row>
    <row r="33" spans="2:6" x14ac:dyDescent="0.25">
      <c r="B33" s="62"/>
      <c r="C33" s="62"/>
      <c r="D33" s="62"/>
      <c r="E33" s="62"/>
      <c r="F33" s="62"/>
    </row>
    <row r="34" spans="2:6" x14ac:dyDescent="0.25">
      <c r="B34" s="62"/>
      <c r="C34" s="62"/>
      <c r="D34" s="62"/>
      <c r="E34" s="62"/>
      <c r="F34" s="62"/>
    </row>
    <row r="35" spans="2:6" x14ac:dyDescent="0.25">
      <c r="B35" s="62"/>
      <c r="C35" s="62"/>
      <c r="D35" s="62"/>
      <c r="E35" s="62"/>
      <c r="F35" s="62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628650</xdr:colOff>
                <xdr:row>5</xdr:row>
                <xdr:rowOff>142875</xdr:rowOff>
              </to>
            </anchor>
          </controlPr>
        </control>
      </mc:Choice>
      <mc:Fallback>
        <control shapeId="13926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5"/>
  <sheetViews>
    <sheetView workbookViewId="0">
      <selection activeCell="K20" sqref="K20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>
        <v>1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COUNTA(B11:I11)</f>
        <v>8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 t="s">
        <v>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93</v>
      </c>
      <c r="E9" s="63" t="s">
        <v>94</v>
      </c>
    </row>
    <row r="10" spans="1:18" s="57" customFormat="1" ht="126" customHeight="1" x14ac:dyDescent="0.3">
      <c r="E10" s="38" t="s">
        <v>95</v>
      </c>
    </row>
    <row r="11" spans="1:18" s="57" customFormat="1" ht="27" customHeight="1" x14ac:dyDescent="0.3">
      <c r="B11" s="44" t="s">
        <v>96</v>
      </c>
      <c r="C11" s="45" t="s">
        <v>97</v>
      </c>
      <c r="D11" s="45" t="s">
        <v>98</v>
      </c>
      <c r="E11" s="45" t="s">
        <v>99</v>
      </c>
      <c r="F11" s="45" t="s">
        <v>100</v>
      </c>
      <c r="G11" s="45" t="s">
        <v>101</v>
      </c>
      <c r="H11" s="45" t="s">
        <v>102</v>
      </c>
      <c r="I11" s="45" t="s">
        <v>103</v>
      </c>
    </row>
    <row r="12" spans="1:18" s="57" customFormat="1" ht="13.5" x14ac:dyDescent="0.3">
      <c r="B12" s="61">
        <v>0</v>
      </c>
      <c r="C12" s="61">
        <v>1</v>
      </c>
      <c r="D12" s="61">
        <v>10</v>
      </c>
      <c r="E12" s="61">
        <v>1001</v>
      </c>
      <c r="F12" s="61">
        <v>1</v>
      </c>
      <c r="G12" s="61">
        <v>1</v>
      </c>
      <c r="H12" s="61">
        <v>1</v>
      </c>
      <c r="I12" s="61"/>
    </row>
    <row r="13" spans="1:18" x14ac:dyDescent="0.3">
      <c r="B13" s="61">
        <v>1</v>
      </c>
      <c r="C13" s="61">
        <v>11</v>
      </c>
      <c r="D13" s="61">
        <v>30</v>
      </c>
      <c r="E13" s="61">
        <v>1002</v>
      </c>
      <c r="F13" s="61">
        <v>1</v>
      </c>
      <c r="G13" s="61">
        <v>1</v>
      </c>
      <c r="H13" s="61">
        <v>1</v>
      </c>
      <c r="I13" s="61"/>
    </row>
    <row r="14" spans="1:18" x14ac:dyDescent="0.3">
      <c r="B14" s="61">
        <v>2</v>
      </c>
      <c r="C14" s="61">
        <v>31</v>
      </c>
      <c r="D14" s="61">
        <v>50</v>
      </c>
      <c r="E14" s="61">
        <v>1003</v>
      </c>
      <c r="F14" s="61">
        <v>1</v>
      </c>
      <c r="G14" s="61">
        <v>1</v>
      </c>
      <c r="H14" s="61">
        <v>1</v>
      </c>
      <c r="I14" s="61"/>
    </row>
    <row r="15" spans="1:18" x14ac:dyDescent="0.3">
      <c r="B15" s="61">
        <v>3</v>
      </c>
      <c r="C15" s="61">
        <v>51</v>
      </c>
      <c r="D15" s="61">
        <v>100</v>
      </c>
      <c r="E15" s="61">
        <v>1004</v>
      </c>
      <c r="F15" s="61">
        <v>1</v>
      </c>
      <c r="G15" s="61">
        <v>1</v>
      </c>
      <c r="H15" s="61">
        <v>1</v>
      </c>
      <c r="I15" s="61"/>
    </row>
    <row r="16" spans="1:18" x14ac:dyDescent="0.3">
      <c r="B16" s="61"/>
      <c r="C16" s="61"/>
      <c r="D16" s="61"/>
      <c r="E16" s="61"/>
      <c r="F16" s="61"/>
      <c r="G16" s="61"/>
      <c r="H16" s="61"/>
      <c r="I16" s="61"/>
    </row>
    <row r="17" spans="2:9" x14ac:dyDescent="0.3">
      <c r="B17" s="61"/>
      <c r="C17" s="61"/>
      <c r="D17" s="61"/>
      <c r="E17" s="61"/>
      <c r="F17" s="61"/>
      <c r="G17" s="61"/>
      <c r="H17" s="61"/>
      <c r="I17" s="61"/>
    </row>
    <row r="18" spans="2:9" x14ac:dyDescent="0.3">
      <c r="B18" s="61"/>
      <c r="C18" s="61"/>
      <c r="D18" s="61"/>
      <c r="E18" s="61"/>
      <c r="F18" s="61"/>
      <c r="G18" s="61"/>
      <c r="H18" s="61"/>
      <c r="I18" s="61"/>
    </row>
    <row r="19" spans="2:9" x14ac:dyDescent="0.3">
      <c r="B19" s="61"/>
      <c r="C19" s="61"/>
      <c r="D19" s="61"/>
      <c r="E19" s="61"/>
      <c r="F19" s="61"/>
      <c r="G19" s="61"/>
      <c r="H19" s="61"/>
      <c r="I19" s="61"/>
    </row>
    <row r="20" spans="2:9" x14ac:dyDescent="0.3">
      <c r="B20" s="61"/>
      <c r="C20" s="61"/>
      <c r="D20" s="61"/>
      <c r="E20" s="61"/>
      <c r="F20" s="61"/>
      <c r="G20" s="61"/>
      <c r="H20" s="61"/>
      <c r="I20" s="61"/>
    </row>
    <row r="21" spans="2:9" x14ac:dyDescent="0.3">
      <c r="B21" s="61"/>
      <c r="C21" s="61"/>
      <c r="D21" s="61"/>
      <c r="E21" s="61"/>
      <c r="F21" s="61"/>
      <c r="G21" s="61"/>
      <c r="H21" s="61"/>
      <c r="I21" s="61"/>
    </row>
    <row r="22" spans="2:9" x14ac:dyDescent="0.3">
      <c r="B22" s="61"/>
      <c r="C22" s="61"/>
      <c r="D22" s="61"/>
      <c r="E22" s="61"/>
      <c r="F22" s="61"/>
      <c r="G22" s="61"/>
      <c r="H22" s="61"/>
      <c r="I22" s="61"/>
    </row>
    <row r="23" spans="2:9" x14ac:dyDescent="0.3">
      <c r="B23" s="61"/>
      <c r="C23" s="61"/>
      <c r="D23" s="61"/>
      <c r="E23" s="61"/>
      <c r="F23" s="61"/>
      <c r="G23" s="61"/>
      <c r="H23" s="61"/>
      <c r="I23" s="61"/>
    </row>
    <row r="24" spans="2:9" x14ac:dyDescent="0.3">
      <c r="B24" s="61"/>
      <c r="C24" s="61"/>
      <c r="D24" s="61"/>
      <c r="E24" s="61"/>
      <c r="F24" s="61"/>
      <c r="G24" s="61"/>
      <c r="H24" s="61"/>
      <c r="I24" s="61"/>
    </row>
    <row r="25" spans="2:9" x14ac:dyDescent="0.3">
      <c r="B25" s="61"/>
      <c r="C25" s="61"/>
      <c r="D25" s="61"/>
      <c r="E25" s="61"/>
      <c r="F25" s="61"/>
      <c r="G25" s="61"/>
      <c r="H25" s="61"/>
      <c r="I25" s="61"/>
    </row>
    <row r="26" spans="2:9" x14ac:dyDescent="0.3">
      <c r="B26" s="61"/>
      <c r="C26" s="61"/>
      <c r="D26" s="61"/>
      <c r="E26" s="61"/>
      <c r="F26" s="61"/>
      <c r="G26" s="61"/>
      <c r="H26" s="61"/>
      <c r="I26" s="61"/>
    </row>
    <row r="27" spans="2:9" x14ac:dyDescent="0.3">
      <c r="B27" s="62"/>
      <c r="C27" s="62"/>
      <c r="D27" s="62"/>
      <c r="E27" s="62"/>
      <c r="F27" s="61"/>
      <c r="G27" s="61"/>
      <c r="H27" s="61"/>
      <c r="I27" s="61"/>
    </row>
    <row r="28" spans="2:9" x14ac:dyDescent="0.3">
      <c r="B28" s="62"/>
      <c r="C28" s="62"/>
      <c r="D28" s="62"/>
      <c r="E28" s="62"/>
      <c r="F28" s="61"/>
      <c r="G28" s="61"/>
      <c r="H28" s="61"/>
      <c r="I28" s="61"/>
    </row>
    <row r="29" spans="2:9" x14ac:dyDescent="0.3">
      <c r="B29" s="62"/>
      <c r="C29" s="62"/>
      <c r="D29" s="62"/>
      <c r="E29" s="62"/>
      <c r="F29" s="61"/>
      <c r="G29" s="61"/>
      <c r="H29" s="61"/>
      <c r="I29" s="61"/>
    </row>
    <row r="30" spans="2:9" x14ac:dyDescent="0.3">
      <c r="B30" s="62"/>
      <c r="C30" s="62"/>
      <c r="D30" s="62"/>
      <c r="E30" s="62"/>
      <c r="F30" s="61"/>
      <c r="G30" s="61"/>
      <c r="H30" s="61"/>
      <c r="I30" s="61"/>
    </row>
    <row r="31" spans="2:9" x14ac:dyDescent="0.3">
      <c r="B31" s="62"/>
      <c r="C31" s="62"/>
      <c r="D31" s="62"/>
      <c r="E31" s="62"/>
      <c r="F31" s="61"/>
      <c r="G31" s="61"/>
      <c r="H31" s="61"/>
      <c r="I31" s="61"/>
    </row>
    <row r="32" spans="2:9" x14ac:dyDescent="0.3">
      <c r="B32" s="62"/>
      <c r="C32" s="62"/>
      <c r="D32" s="62"/>
      <c r="E32" s="62"/>
      <c r="F32" s="61"/>
      <c r="G32" s="61"/>
      <c r="H32" s="61"/>
      <c r="I32" s="61"/>
    </row>
    <row r="33" spans="2:9" x14ac:dyDescent="0.3">
      <c r="B33" s="62"/>
      <c r="C33" s="62"/>
      <c r="D33" s="62"/>
      <c r="E33" s="62"/>
      <c r="F33" s="61"/>
      <c r="G33" s="61"/>
      <c r="H33" s="61"/>
      <c r="I33" s="61"/>
    </row>
    <row r="34" spans="2:9" x14ac:dyDescent="0.3">
      <c r="B34" s="62"/>
      <c r="C34" s="62"/>
      <c r="D34" s="62"/>
      <c r="E34" s="62"/>
      <c r="F34" s="61"/>
      <c r="G34" s="61"/>
      <c r="H34" s="61"/>
      <c r="I34" s="61"/>
    </row>
    <row r="35" spans="2:9" x14ac:dyDescent="0.3">
      <c r="B35" s="62"/>
      <c r="C35" s="62"/>
      <c r="D35" s="62"/>
      <c r="E35" s="62"/>
      <c r="F35" s="61"/>
      <c r="G35" s="61"/>
      <c r="H35" s="61"/>
      <c r="I35" s="61"/>
    </row>
  </sheetData>
  <phoneticPr fontId="2" type="noConversion"/>
  <hyperlinks>
    <hyperlink ref="E9" location="'Effect list'!B11" display="'Effect list'!B11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2340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42340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35"/>
  <sheetViews>
    <sheetView workbookViewId="0">
      <selection activeCell="G27" sqref="G27"/>
    </sheetView>
  </sheetViews>
  <sheetFormatPr defaultColWidth="9" defaultRowHeight="16.5" x14ac:dyDescent="0.3"/>
  <cols>
    <col min="1" max="1" width="2.375" style="56" customWidth="1"/>
    <col min="2" max="2" width="9" style="56"/>
    <col min="3" max="3" width="23.625" style="56" customWidth="1"/>
    <col min="4" max="4" width="19.375" style="56" bestFit="1" customWidth="1"/>
    <col min="5" max="5" width="19.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104</v>
      </c>
      <c r="C2" s="24">
        <f>COUNTA(B12:B981)</f>
        <v>14</v>
      </c>
      <c r="D2" s="47">
        <v>2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 t="s">
        <v>105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106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107</v>
      </c>
    </row>
    <row r="10" spans="1:18" s="57" customFormat="1" ht="126" customHeight="1" x14ac:dyDescent="0.3">
      <c r="C10" s="57" t="s">
        <v>108</v>
      </c>
      <c r="D10" s="57" t="s">
        <v>109</v>
      </c>
    </row>
    <row r="11" spans="1:18" s="57" customFormat="1" ht="27" customHeight="1" x14ac:dyDescent="0.3">
      <c r="B11" s="64" t="s">
        <v>96</v>
      </c>
      <c r="C11" s="65" t="s">
        <v>110</v>
      </c>
      <c r="D11" s="65" t="s">
        <v>111</v>
      </c>
      <c r="E11" s="65" t="s">
        <v>103</v>
      </c>
    </row>
    <row r="12" spans="1:18" s="57" customFormat="1" ht="13.5" x14ac:dyDescent="0.3">
      <c r="B12" s="66">
        <v>0</v>
      </c>
      <c r="C12" s="66" t="s">
        <v>112</v>
      </c>
      <c r="D12" s="66" t="s">
        <v>172</v>
      </c>
      <c r="E12" s="66" t="s">
        <v>173</v>
      </c>
    </row>
    <row r="13" spans="1:18" x14ac:dyDescent="0.3">
      <c r="B13" s="66">
        <v>1</v>
      </c>
      <c r="C13" s="66" t="s">
        <v>112</v>
      </c>
      <c r="D13" s="66" t="s">
        <v>113</v>
      </c>
      <c r="E13" s="66" t="s">
        <v>114</v>
      </c>
    </row>
    <row r="14" spans="1:18" x14ac:dyDescent="0.3">
      <c r="B14" s="66">
        <v>2</v>
      </c>
      <c r="C14" s="66" t="s">
        <v>112</v>
      </c>
      <c r="D14" s="66" t="s">
        <v>115</v>
      </c>
      <c r="E14" s="66" t="s">
        <v>116</v>
      </c>
    </row>
    <row r="15" spans="1:18" x14ac:dyDescent="0.3">
      <c r="B15" s="66">
        <v>3</v>
      </c>
      <c r="C15" s="66" t="s">
        <v>112</v>
      </c>
      <c r="D15" s="66" t="s">
        <v>117</v>
      </c>
      <c r="E15" s="66" t="s">
        <v>118</v>
      </c>
    </row>
    <row r="16" spans="1:18" x14ac:dyDescent="0.3">
      <c r="B16" s="66">
        <v>4</v>
      </c>
      <c r="C16" s="66" t="s">
        <v>112</v>
      </c>
      <c r="D16" s="66" t="s">
        <v>119</v>
      </c>
      <c r="E16" s="66" t="s">
        <v>174</v>
      </c>
    </row>
    <row r="17" spans="2:5" x14ac:dyDescent="0.3">
      <c r="B17" s="66">
        <v>5</v>
      </c>
      <c r="C17" s="66" t="s">
        <v>112</v>
      </c>
      <c r="D17" s="66" t="s">
        <v>120</v>
      </c>
      <c r="E17" s="66" t="s">
        <v>175</v>
      </c>
    </row>
    <row r="18" spans="2:5" x14ac:dyDescent="0.3">
      <c r="B18" s="66">
        <v>6</v>
      </c>
      <c r="C18" s="66" t="s">
        <v>112</v>
      </c>
      <c r="D18" s="66" t="s">
        <v>121</v>
      </c>
      <c r="E18" s="66" t="s">
        <v>176</v>
      </c>
    </row>
    <row r="19" spans="2:5" x14ac:dyDescent="0.3">
      <c r="B19" s="66">
        <v>7</v>
      </c>
      <c r="C19" s="66" t="s">
        <v>112</v>
      </c>
      <c r="D19" s="66" t="s">
        <v>122</v>
      </c>
      <c r="E19" s="66" t="s">
        <v>177</v>
      </c>
    </row>
    <row r="20" spans="2:5" x14ac:dyDescent="0.3">
      <c r="B20" s="66">
        <v>8</v>
      </c>
      <c r="C20" s="66" t="s">
        <v>112</v>
      </c>
      <c r="D20" s="66" t="s">
        <v>123</v>
      </c>
      <c r="E20" s="66" t="s">
        <v>178</v>
      </c>
    </row>
    <row r="21" spans="2:5" x14ac:dyDescent="0.3">
      <c r="B21" s="66">
        <v>9</v>
      </c>
      <c r="C21" s="66" t="s">
        <v>112</v>
      </c>
      <c r="D21" s="66" t="s">
        <v>124</v>
      </c>
      <c r="E21" s="66" t="s">
        <v>179</v>
      </c>
    </row>
    <row r="22" spans="2:5" x14ac:dyDescent="0.3">
      <c r="B22" s="66">
        <v>10</v>
      </c>
      <c r="C22" s="66" t="s">
        <v>112</v>
      </c>
      <c r="D22" s="66" t="s">
        <v>125</v>
      </c>
      <c r="E22" s="66" t="s">
        <v>180</v>
      </c>
    </row>
    <row r="23" spans="2:5" x14ac:dyDescent="0.3">
      <c r="B23" s="66">
        <v>11</v>
      </c>
      <c r="C23" s="66" t="s">
        <v>112</v>
      </c>
      <c r="D23" s="66" t="s">
        <v>126</v>
      </c>
      <c r="E23" s="66" t="s">
        <v>181</v>
      </c>
    </row>
    <row r="24" spans="2:5" x14ac:dyDescent="0.3">
      <c r="B24" s="66">
        <v>12</v>
      </c>
      <c r="C24" s="66" t="s">
        <v>112</v>
      </c>
      <c r="D24" s="66" t="s">
        <v>127</v>
      </c>
      <c r="E24" s="66" t="s">
        <v>182</v>
      </c>
    </row>
    <row r="25" spans="2:5" x14ac:dyDescent="0.3">
      <c r="B25" s="66">
        <v>13</v>
      </c>
      <c r="C25" s="66" t="s">
        <v>112</v>
      </c>
      <c r="D25" s="66" t="s">
        <v>128</v>
      </c>
      <c r="E25" s="66" t="s">
        <v>183</v>
      </c>
    </row>
    <row r="26" spans="2:5" x14ac:dyDescent="0.3">
      <c r="B26" s="66"/>
      <c r="C26" s="66" t="s">
        <v>112</v>
      </c>
      <c r="D26" s="66" t="s">
        <v>129</v>
      </c>
      <c r="E26" s="66" t="s">
        <v>184</v>
      </c>
    </row>
    <row r="27" spans="2:5" x14ac:dyDescent="0.3">
      <c r="B27" s="62"/>
      <c r="C27" s="62"/>
      <c r="D27" s="62"/>
      <c r="E27" s="62"/>
    </row>
    <row r="28" spans="2:5" x14ac:dyDescent="0.3">
      <c r="B28" s="62"/>
      <c r="C28" s="62"/>
      <c r="D28" s="62"/>
      <c r="E28" s="62"/>
    </row>
    <row r="29" spans="2:5" x14ac:dyDescent="0.3">
      <c r="B29" s="62"/>
      <c r="C29" s="62"/>
      <c r="D29" s="62"/>
      <c r="E29" s="62"/>
    </row>
    <row r="30" spans="2:5" x14ac:dyDescent="0.3">
      <c r="B30" s="62"/>
      <c r="C30" s="62"/>
      <c r="D30" s="62"/>
      <c r="E30" s="62"/>
    </row>
    <row r="31" spans="2:5" x14ac:dyDescent="0.3">
      <c r="B31" s="62"/>
      <c r="C31" s="62"/>
      <c r="D31" s="62"/>
      <c r="E31" s="62"/>
    </row>
    <row r="32" spans="2:5" x14ac:dyDescent="0.3">
      <c r="B32" s="62"/>
      <c r="C32" s="62"/>
      <c r="D32" s="62"/>
      <c r="E32" s="62"/>
    </row>
    <row r="33" spans="2:5" x14ac:dyDescent="0.3">
      <c r="B33" s="62"/>
      <c r="C33" s="62"/>
      <c r="D33" s="62"/>
      <c r="E33" s="62"/>
    </row>
    <row r="34" spans="2:5" x14ac:dyDescent="0.3">
      <c r="B34" s="62"/>
      <c r="C34" s="62"/>
      <c r="D34" s="62"/>
      <c r="E34" s="62"/>
    </row>
    <row r="35" spans="2:5" x14ac:dyDescent="0.3">
      <c r="B35" s="62"/>
      <c r="C35" s="62"/>
      <c r="D35" s="62"/>
      <c r="E35" s="62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64" r:id="rId3" name="CommandButton1">
          <controlPr defaultSize="0" autoLine="0" r:id="rId4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5</xdr:col>
                <xdr:colOff>790575</xdr:colOff>
                <xdr:row>5</xdr:row>
                <xdr:rowOff>104775</xdr:rowOff>
              </to>
            </anchor>
          </controlPr>
        </control>
      </mc:Choice>
      <mc:Fallback>
        <control shapeId="143364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35"/>
  <sheetViews>
    <sheetView workbookViewId="0">
      <selection activeCell="I29" sqref="I2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3.8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130</v>
      </c>
      <c r="C2" s="24">
        <f>COUNTA(B12:B981)</f>
        <v>11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131</v>
      </c>
      <c r="D5" s="47" t="s">
        <v>132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133</v>
      </c>
      <c r="D6" s="47" t="s">
        <v>134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135</v>
      </c>
    </row>
    <row r="10" spans="1:18" s="57" customFormat="1" ht="166.5" customHeight="1" x14ac:dyDescent="0.3">
      <c r="D10" s="38" t="s">
        <v>136</v>
      </c>
      <c r="H10" s="57" t="s">
        <v>137</v>
      </c>
      <c r="K10" s="38" t="s">
        <v>138</v>
      </c>
    </row>
    <row r="11" spans="1:18" s="57" customFormat="1" ht="27" customHeight="1" x14ac:dyDescent="0.3">
      <c r="B11" s="44" t="s">
        <v>96</v>
      </c>
      <c r="C11" s="45" t="s">
        <v>139</v>
      </c>
      <c r="D11" s="45" t="s">
        <v>140</v>
      </c>
      <c r="E11" s="45" t="s">
        <v>141</v>
      </c>
      <c r="F11" s="45" t="s">
        <v>142</v>
      </c>
      <c r="G11" s="45" t="s">
        <v>143</v>
      </c>
      <c r="H11" s="45" t="s">
        <v>144</v>
      </c>
      <c r="I11" s="45" t="s">
        <v>145</v>
      </c>
      <c r="J11" s="45" t="s">
        <v>103</v>
      </c>
    </row>
    <row r="12" spans="1:18" s="57" customFormat="1" ht="13.5" x14ac:dyDescent="0.3">
      <c r="B12" s="61">
        <v>0</v>
      </c>
      <c r="C12" s="61">
        <v>1234</v>
      </c>
      <c r="D12" s="61" t="s">
        <v>146</v>
      </c>
      <c r="E12" s="61"/>
      <c r="F12" s="61"/>
      <c r="G12" s="61"/>
      <c r="H12" s="61"/>
      <c r="I12" s="61"/>
      <c r="J12" s="61" t="s">
        <v>147</v>
      </c>
    </row>
    <row r="13" spans="1:18" x14ac:dyDescent="0.3">
      <c r="B13" s="61">
        <v>1</v>
      </c>
      <c r="C13" s="61">
        <v>1235</v>
      </c>
      <c r="D13" s="61" t="s">
        <v>148</v>
      </c>
      <c r="E13" s="61"/>
      <c r="F13" s="61"/>
      <c r="G13" s="61"/>
      <c r="H13" s="61"/>
      <c r="I13" s="61"/>
      <c r="J13" s="61" t="s">
        <v>149</v>
      </c>
    </row>
    <row r="14" spans="1:18" x14ac:dyDescent="0.3">
      <c r="B14" s="61">
        <v>2</v>
      </c>
      <c r="C14" s="61">
        <v>1234</v>
      </c>
      <c r="D14" s="61" t="s">
        <v>150</v>
      </c>
      <c r="E14" s="61">
        <v>-1</v>
      </c>
      <c r="F14" s="61"/>
      <c r="G14" s="61"/>
      <c r="H14" s="61"/>
      <c r="I14" s="61"/>
      <c r="J14" s="61" t="s">
        <v>151</v>
      </c>
      <c r="O14" s="56" t="s">
        <v>152</v>
      </c>
    </row>
    <row r="15" spans="1:18" x14ac:dyDescent="0.3">
      <c r="B15" s="61">
        <v>3</v>
      </c>
      <c r="C15" s="61">
        <v>1234</v>
      </c>
      <c r="D15" s="61" t="s">
        <v>150</v>
      </c>
      <c r="E15" s="61">
        <v>300</v>
      </c>
      <c r="F15" s="61"/>
      <c r="G15" s="61"/>
      <c r="H15" s="61"/>
      <c r="I15" s="61"/>
      <c r="J15" s="61" t="s">
        <v>153</v>
      </c>
    </row>
    <row r="16" spans="1:18" x14ac:dyDescent="0.3">
      <c r="B16" s="61">
        <v>4</v>
      </c>
      <c r="C16" s="61">
        <v>1324</v>
      </c>
      <c r="D16" s="61" t="s">
        <v>154</v>
      </c>
      <c r="E16" s="61">
        <v>0.5</v>
      </c>
      <c r="F16" s="61"/>
      <c r="G16" s="61"/>
      <c r="H16" s="61"/>
      <c r="I16" s="61"/>
      <c r="J16" s="61" t="s">
        <v>155</v>
      </c>
      <c r="K16" s="56" t="s">
        <v>156</v>
      </c>
    </row>
    <row r="17" spans="2:12" x14ac:dyDescent="0.3">
      <c r="B17" s="61">
        <v>5</v>
      </c>
      <c r="C17" s="61">
        <v>2345</v>
      </c>
      <c r="D17" s="61" t="s">
        <v>157</v>
      </c>
      <c r="E17" s="61">
        <v>50</v>
      </c>
      <c r="F17" s="61">
        <v>50</v>
      </c>
      <c r="G17" s="61"/>
      <c r="H17" s="61"/>
      <c r="I17" s="61"/>
      <c r="J17" s="61" t="s">
        <v>158</v>
      </c>
    </row>
    <row r="18" spans="2:12" x14ac:dyDescent="0.3">
      <c r="B18" s="61">
        <v>6</v>
      </c>
      <c r="C18" s="61">
        <v>651658</v>
      </c>
      <c r="D18" s="61" t="s">
        <v>159</v>
      </c>
      <c r="E18" s="61">
        <v>5</v>
      </c>
      <c r="F18" s="61"/>
      <c r="G18" s="61"/>
      <c r="H18" s="61"/>
      <c r="I18" s="61"/>
      <c r="J18" s="61" t="s">
        <v>160</v>
      </c>
    </row>
    <row r="19" spans="2:12" x14ac:dyDescent="0.3">
      <c r="B19" s="61">
        <v>7</v>
      </c>
      <c r="C19" s="61">
        <v>51651</v>
      </c>
      <c r="D19" s="61" t="s">
        <v>159</v>
      </c>
      <c r="E19" s="61">
        <v>-3</v>
      </c>
      <c r="F19" s="61"/>
      <c r="G19" s="61"/>
      <c r="H19" s="61"/>
      <c r="I19" s="61"/>
      <c r="J19" s="61" t="s">
        <v>161</v>
      </c>
      <c r="L19" s="56" t="s">
        <v>162</v>
      </c>
    </row>
    <row r="20" spans="2:12" x14ac:dyDescent="0.3">
      <c r="B20" s="61">
        <v>8</v>
      </c>
      <c r="C20" s="61">
        <v>351</v>
      </c>
      <c r="D20" s="61" t="s">
        <v>163</v>
      </c>
      <c r="E20" s="61">
        <v>100</v>
      </c>
      <c r="F20" s="61">
        <v>200</v>
      </c>
      <c r="G20" s="61">
        <v>3</v>
      </c>
      <c r="H20" s="61"/>
      <c r="I20" s="61"/>
      <c r="J20" s="61" t="s">
        <v>164</v>
      </c>
    </row>
    <row r="21" spans="2:12" x14ac:dyDescent="0.3">
      <c r="B21" s="61">
        <v>9</v>
      </c>
      <c r="C21" s="61">
        <v>555</v>
      </c>
      <c r="D21" s="61" t="s">
        <v>165</v>
      </c>
      <c r="E21" s="61">
        <v>500</v>
      </c>
      <c r="F21" s="61">
        <v>500</v>
      </c>
      <c r="G21" s="61" t="s">
        <v>166</v>
      </c>
      <c r="H21" s="61" t="s">
        <v>167</v>
      </c>
      <c r="I21" s="61"/>
      <c r="J21" s="61" t="s">
        <v>168</v>
      </c>
    </row>
    <row r="22" spans="2:12" x14ac:dyDescent="0.3">
      <c r="B22" s="61">
        <v>10</v>
      </c>
      <c r="C22" s="61">
        <v>5555</v>
      </c>
      <c r="D22" s="61" t="s">
        <v>169</v>
      </c>
      <c r="E22" s="61">
        <v>15</v>
      </c>
      <c r="F22" s="61"/>
      <c r="G22" s="61"/>
      <c r="H22" s="61"/>
      <c r="I22" s="61"/>
      <c r="J22" s="61" t="s">
        <v>170</v>
      </c>
    </row>
    <row r="23" spans="2:12" x14ac:dyDescent="0.3">
      <c r="B23" s="61"/>
      <c r="C23" s="61"/>
      <c r="D23" s="61"/>
      <c r="E23" s="61"/>
      <c r="F23" s="61"/>
      <c r="G23" s="61"/>
      <c r="H23" s="61"/>
      <c r="I23" s="61"/>
      <c r="J23" s="61"/>
    </row>
    <row r="24" spans="2:12" x14ac:dyDescent="0.3">
      <c r="B24" s="61"/>
      <c r="C24" s="61"/>
      <c r="D24" s="61"/>
      <c r="E24" s="61"/>
      <c r="F24" s="61"/>
      <c r="G24" s="61"/>
      <c r="H24" s="61"/>
      <c r="I24" s="61"/>
      <c r="J24" s="61"/>
    </row>
    <row r="25" spans="2:12" x14ac:dyDescent="0.3">
      <c r="B25" s="61"/>
      <c r="C25" s="61"/>
      <c r="D25" s="61"/>
      <c r="E25" s="61"/>
      <c r="F25" s="61"/>
      <c r="G25" s="61"/>
      <c r="H25" s="61"/>
      <c r="I25" s="61"/>
      <c r="J25" s="61"/>
    </row>
    <row r="26" spans="2:12" x14ac:dyDescent="0.3">
      <c r="B26" s="61"/>
      <c r="C26" s="61"/>
      <c r="D26" s="61"/>
      <c r="E26" s="61"/>
      <c r="F26" s="61"/>
      <c r="G26" s="61"/>
      <c r="H26" s="61"/>
      <c r="I26" s="61"/>
      <c r="J26" s="61"/>
    </row>
    <row r="27" spans="2:12" x14ac:dyDescent="0.3">
      <c r="B27" s="61"/>
      <c r="C27" s="62"/>
      <c r="D27" s="62"/>
      <c r="E27" s="62"/>
      <c r="F27" s="61"/>
      <c r="G27" s="61"/>
      <c r="H27" s="61"/>
      <c r="I27" s="61"/>
      <c r="J27" s="61"/>
    </row>
    <row r="28" spans="2:12" x14ac:dyDescent="0.3">
      <c r="B28" s="61"/>
      <c r="C28" s="62"/>
      <c r="D28" s="62"/>
      <c r="E28" s="62"/>
      <c r="F28" s="61"/>
      <c r="G28" s="61"/>
      <c r="H28" s="61"/>
      <c r="I28" s="61"/>
      <c r="J28" s="61"/>
    </row>
    <row r="29" spans="2:12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2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2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2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4388" r:id="rId3" name="CommandButton1">
          <controlPr defaultSize="0" autoLine="0" r:id="rId4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4388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35"/>
  <sheetViews>
    <sheetView workbookViewId="0">
      <selection activeCell="B11" sqref="B11:I24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9.3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13</v>
      </c>
      <c r="D2" s="47">
        <v>21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188</v>
      </c>
      <c r="D5" s="47" t="s">
        <v>171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135</v>
      </c>
    </row>
    <row r="10" spans="1:18" s="57" customFormat="1" ht="233.25" customHeight="1" x14ac:dyDescent="0.3">
      <c r="D10" s="38" t="s">
        <v>187</v>
      </c>
      <c r="K10" s="38"/>
    </row>
    <row r="11" spans="1:18" s="57" customFormat="1" ht="27" customHeight="1" x14ac:dyDescent="0.3">
      <c r="B11" s="64" t="s">
        <v>96</v>
      </c>
      <c r="C11" s="65" t="s">
        <v>139</v>
      </c>
      <c r="D11" s="65" t="s">
        <v>140</v>
      </c>
      <c r="E11" s="65" t="s">
        <v>141</v>
      </c>
      <c r="F11" s="65" t="s">
        <v>142</v>
      </c>
      <c r="G11" s="65" t="s">
        <v>143</v>
      </c>
      <c r="H11" s="65" t="s">
        <v>144</v>
      </c>
      <c r="I11" s="65" t="s">
        <v>145</v>
      </c>
      <c r="J11" s="65" t="s">
        <v>103</v>
      </c>
    </row>
    <row r="12" spans="1:18" s="57" customFormat="1" ht="13.5" x14ac:dyDescent="0.3">
      <c r="B12" s="66">
        <v>0</v>
      </c>
      <c r="C12" s="66">
        <v>14266</v>
      </c>
      <c r="D12" s="66" t="s">
        <v>150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19100</v>
      </c>
      <c r="D13" s="66" t="s">
        <v>159</v>
      </c>
      <c r="E13" s="66">
        <v>5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31000</v>
      </c>
      <c r="D14" s="66" t="s">
        <v>159</v>
      </c>
      <c r="E14" s="66">
        <v>-5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32000</v>
      </c>
      <c r="D15" s="66" t="s">
        <v>163</v>
      </c>
      <c r="E15" s="66">
        <v>500</v>
      </c>
      <c r="F15" s="66">
        <v>600</v>
      </c>
      <c r="G15" s="66">
        <v>0</v>
      </c>
      <c r="H15" s="66"/>
      <c r="I15" s="66"/>
      <c r="J15" s="66"/>
    </row>
    <row r="16" spans="1:18" x14ac:dyDescent="0.3">
      <c r="B16" s="66">
        <v>4</v>
      </c>
      <c r="C16" s="66">
        <v>33000</v>
      </c>
      <c r="D16" s="66" t="s">
        <v>163</v>
      </c>
      <c r="E16" s="66">
        <v>600</v>
      </c>
      <c r="F16" s="66">
        <v>600</v>
      </c>
      <c r="G16" s="66">
        <v>0</v>
      </c>
      <c r="H16" s="66"/>
      <c r="I16" s="66"/>
      <c r="J16" s="66"/>
    </row>
    <row r="17" spans="2:10" x14ac:dyDescent="0.3">
      <c r="B17" s="66">
        <v>5</v>
      </c>
      <c r="C17" s="66">
        <v>34000</v>
      </c>
      <c r="D17" s="66" t="s">
        <v>163</v>
      </c>
      <c r="E17" s="66">
        <v>700</v>
      </c>
      <c r="F17" s="66">
        <v>600</v>
      </c>
      <c r="G17" s="66">
        <v>0</v>
      </c>
      <c r="H17" s="66"/>
      <c r="I17" s="66"/>
      <c r="J17" s="66"/>
    </row>
    <row r="18" spans="2:10" x14ac:dyDescent="0.3">
      <c r="B18" s="66">
        <v>6</v>
      </c>
      <c r="C18" s="66">
        <v>40000</v>
      </c>
      <c r="D18" s="66" t="s">
        <v>154</v>
      </c>
      <c r="E18" s="66">
        <v>0.5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50000</v>
      </c>
      <c r="D19" s="66" t="s">
        <v>146</v>
      </c>
      <c r="E19" s="66"/>
      <c r="F19" s="66"/>
      <c r="G19" s="66"/>
      <c r="H19" s="66"/>
      <c r="I19" s="66"/>
      <c r="J19" s="66"/>
    </row>
    <row r="20" spans="2:10" x14ac:dyDescent="0.3">
      <c r="B20" s="66">
        <v>8</v>
      </c>
      <c r="C20" s="66">
        <v>60000</v>
      </c>
      <c r="D20" s="66" t="s">
        <v>165</v>
      </c>
      <c r="E20" s="66">
        <v>500</v>
      </c>
      <c r="F20" s="66">
        <v>500</v>
      </c>
      <c r="G20" s="66" t="s">
        <v>186</v>
      </c>
      <c r="H20" s="66" t="s">
        <v>185</v>
      </c>
      <c r="I20" s="66">
        <v>5000</v>
      </c>
      <c r="J20" s="66"/>
    </row>
    <row r="21" spans="2:10" x14ac:dyDescent="0.3">
      <c r="B21" s="66">
        <v>9</v>
      </c>
      <c r="C21" s="66">
        <v>70000</v>
      </c>
      <c r="D21" s="66" t="s">
        <v>157</v>
      </c>
      <c r="E21" s="66">
        <v>600</v>
      </c>
      <c r="F21" s="66">
        <v>700</v>
      </c>
      <c r="G21" s="66">
        <v>0.4</v>
      </c>
      <c r="H21" s="66"/>
      <c r="I21" s="66"/>
      <c r="J21" s="66"/>
    </row>
    <row r="22" spans="2:10" x14ac:dyDescent="0.3">
      <c r="B22" s="66">
        <v>10</v>
      </c>
      <c r="C22" s="66">
        <v>80000</v>
      </c>
      <c r="D22" s="66" t="s">
        <v>169</v>
      </c>
      <c r="E22" s="66">
        <v>20</v>
      </c>
      <c r="F22" s="66"/>
      <c r="G22" s="66"/>
      <c r="H22" s="66"/>
      <c r="I22" s="66"/>
      <c r="J22" s="66"/>
    </row>
    <row r="23" spans="2:10" x14ac:dyDescent="0.3">
      <c r="B23" s="66">
        <v>11</v>
      </c>
      <c r="C23" s="66">
        <v>70000</v>
      </c>
      <c r="D23" s="66" t="s">
        <v>154</v>
      </c>
      <c r="E23" s="66">
        <v>0.2</v>
      </c>
      <c r="F23" s="66"/>
      <c r="G23" s="66"/>
      <c r="H23" s="66"/>
      <c r="I23" s="66"/>
      <c r="J23" s="66"/>
    </row>
    <row r="24" spans="2:10" x14ac:dyDescent="0.3">
      <c r="B24" s="61">
        <v>12</v>
      </c>
      <c r="C24" s="61">
        <v>90000</v>
      </c>
      <c r="D24" s="66" t="s">
        <v>146</v>
      </c>
      <c r="E24" s="61"/>
      <c r="F24" s="61"/>
      <c r="G24" s="61"/>
      <c r="H24" s="61"/>
      <c r="I24" s="61"/>
      <c r="J24" s="61"/>
    </row>
    <row r="25" spans="2:10" x14ac:dyDescent="0.3">
      <c r="B25" s="61"/>
      <c r="C25" s="61"/>
      <c r="D25" s="61"/>
      <c r="E25" s="61"/>
      <c r="F25" s="61"/>
      <c r="G25" s="61"/>
      <c r="H25" s="61"/>
      <c r="I25" s="61"/>
      <c r="J25" s="61"/>
    </row>
    <row r="26" spans="2:10" x14ac:dyDescent="0.3">
      <c r="B26" s="61"/>
      <c r="C26" s="61"/>
      <c r="D26" s="61"/>
      <c r="E26" s="61"/>
      <c r="F26" s="61"/>
      <c r="G26" s="61"/>
      <c r="H26" s="61"/>
      <c r="I26" s="61"/>
      <c r="J26" s="61"/>
    </row>
    <row r="27" spans="2:10" x14ac:dyDescent="0.3">
      <c r="B27" s="61"/>
      <c r="C27" s="62"/>
      <c r="D27" s="62"/>
      <c r="E27" s="62"/>
      <c r="F27" s="61"/>
      <c r="G27" s="61"/>
      <c r="H27" s="61"/>
      <c r="I27" s="61"/>
      <c r="J27" s="61"/>
    </row>
    <row r="28" spans="2:10" x14ac:dyDescent="0.3">
      <c r="B28" s="61"/>
      <c r="C28" s="62"/>
      <c r="D28" s="62"/>
      <c r="E28" s="62"/>
      <c r="F28" s="61"/>
      <c r="G28" s="61"/>
      <c r="H28" s="61"/>
      <c r="I28" s="61"/>
      <c r="J28" s="61"/>
    </row>
    <row r="29" spans="2:10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0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0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7457" r:id="rId3" name="CommandButton1">
          <controlPr defaultSize="0" autoLine="0" r:id="rId4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745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33"/>
  <sheetViews>
    <sheetView tabSelected="1" workbookViewId="0">
      <selection activeCell="K10" sqref="K10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7.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COUNTA(B12:B979)</f>
        <v>20</v>
      </c>
      <c r="D2" s="47">
        <v>24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188</v>
      </c>
      <c r="D5" s="47" t="s">
        <v>189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135</v>
      </c>
    </row>
    <row r="10" spans="1:18" s="57" customFormat="1" ht="233.25" customHeight="1" x14ac:dyDescent="0.3">
      <c r="D10" s="38" t="s">
        <v>187</v>
      </c>
    </row>
    <row r="11" spans="1:18" s="57" customFormat="1" ht="27" customHeight="1" x14ac:dyDescent="0.3">
      <c r="B11" s="64" t="s">
        <v>96</v>
      </c>
      <c r="C11" s="65" t="s">
        <v>139</v>
      </c>
      <c r="D11" s="65" t="s">
        <v>140</v>
      </c>
      <c r="E11" s="65" t="s">
        <v>141</v>
      </c>
      <c r="F11" s="65" t="s">
        <v>142</v>
      </c>
      <c r="G11" s="65" t="s">
        <v>143</v>
      </c>
      <c r="H11" s="65" t="s">
        <v>144</v>
      </c>
      <c r="I11" s="65" t="s">
        <v>145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159</v>
      </c>
      <c r="E12" s="66">
        <v>30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159</v>
      </c>
      <c r="E13" s="66">
        <v>-30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30000</v>
      </c>
      <c r="D14" s="66" t="s">
        <v>159</v>
      </c>
      <c r="E14" s="66">
        <v>30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40000</v>
      </c>
      <c r="D15" s="66" t="s">
        <v>159</v>
      </c>
      <c r="E15" s="66">
        <v>-30</v>
      </c>
      <c r="F15" s="66"/>
      <c r="G15" s="66"/>
      <c r="H15" s="66"/>
      <c r="I15" s="66"/>
      <c r="J15" s="66"/>
    </row>
    <row r="16" spans="1:18" x14ac:dyDescent="0.3">
      <c r="B16" s="66">
        <v>4</v>
      </c>
      <c r="C16" s="66">
        <v>50000</v>
      </c>
      <c r="D16" s="66" t="s">
        <v>159</v>
      </c>
      <c r="E16" s="66">
        <v>30</v>
      </c>
      <c r="F16" s="66"/>
      <c r="G16" s="66"/>
      <c r="H16" s="66"/>
      <c r="I16" s="66"/>
      <c r="J16" s="66"/>
    </row>
    <row r="17" spans="2:10" x14ac:dyDescent="0.3">
      <c r="B17" s="66">
        <v>5</v>
      </c>
      <c r="C17" s="66">
        <v>60000</v>
      </c>
      <c r="D17" s="66" t="s">
        <v>159</v>
      </c>
      <c r="E17" s="66">
        <v>-30</v>
      </c>
      <c r="F17" s="66"/>
      <c r="G17" s="66"/>
      <c r="H17" s="66"/>
      <c r="I17" s="66"/>
      <c r="J17" s="66"/>
    </row>
    <row r="18" spans="2:10" x14ac:dyDescent="0.3">
      <c r="B18" s="66">
        <v>6</v>
      </c>
      <c r="C18" s="66">
        <v>70000</v>
      </c>
      <c r="D18" s="66" t="s">
        <v>159</v>
      </c>
      <c r="E18" s="66">
        <v>30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80000</v>
      </c>
      <c r="D19" s="66" t="s">
        <v>159</v>
      </c>
      <c r="E19" s="66">
        <v>-30</v>
      </c>
      <c r="F19" s="66"/>
      <c r="G19" s="66"/>
      <c r="H19" s="66"/>
      <c r="I19" s="66"/>
      <c r="J19" s="66"/>
    </row>
    <row r="20" spans="2:10" x14ac:dyDescent="0.3">
      <c r="B20" s="66">
        <v>8</v>
      </c>
      <c r="C20" s="66">
        <v>90000</v>
      </c>
      <c r="D20" s="66" t="s">
        <v>159</v>
      </c>
      <c r="E20" s="66">
        <v>30</v>
      </c>
      <c r="F20" s="66"/>
      <c r="G20" s="66"/>
      <c r="H20" s="66"/>
      <c r="I20" s="66"/>
      <c r="J20" s="66"/>
    </row>
    <row r="21" spans="2:10" x14ac:dyDescent="0.3">
      <c r="B21" s="66">
        <v>9</v>
      </c>
      <c r="C21" s="66">
        <v>100000</v>
      </c>
      <c r="D21" s="66" t="s">
        <v>159</v>
      </c>
      <c r="E21" s="66">
        <v>-30</v>
      </c>
      <c r="F21" s="66"/>
      <c r="G21" s="66"/>
      <c r="H21" s="66"/>
      <c r="I21" s="66"/>
      <c r="J21" s="66"/>
    </row>
    <row r="22" spans="2:10" x14ac:dyDescent="0.3">
      <c r="B22" s="66">
        <v>10</v>
      </c>
      <c r="C22" s="66">
        <v>110000</v>
      </c>
      <c r="D22" s="66" t="s">
        <v>159</v>
      </c>
      <c r="E22" s="66">
        <v>30</v>
      </c>
      <c r="F22" s="61"/>
      <c r="G22" s="61"/>
      <c r="H22" s="61"/>
      <c r="I22" s="61"/>
      <c r="J22" s="61"/>
    </row>
    <row r="23" spans="2:10" x14ac:dyDescent="0.3">
      <c r="B23" s="66">
        <v>11</v>
      </c>
      <c r="C23" s="66">
        <v>120000</v>
      </c>
      <c r="D23" s="66" t="s">
        <v>159</v>
      </c>
      <c r="E23" s="66">
        <v>-30</v>
      </c>
      <c r="F23" s="61"/>
      <c r="G23" s="61"/>
      <c r="H23" s="61"/>
      <c r="I23" s="61"/>
      <c r="J23" s="61"/>
    </row>
    <row r="24" spans="2:10" x14ac:dyDescent="0.3">
      <c r="B24" s="66">
        <v>12</v>
      </c>
      <c r="C24" s="66">
        <v>130000</v>
      </c>
      <c r="D24" s="66" t="s">
        <v>159</v>
      </c>
      <c r="E24" s="66">
        <v>30</v>
      </c>
      <c r="F24" s="61"/>
      <c r="G24" s="61"/>
      <c r="H24" s="61"/>
      <c r="I24" s="61"/>
      <c r="J24" s="61"/>
    </row>
    <row r="25" spans="2:10" x14ac:dyDescent="0.3">
      <c r="B25" s="66">
        <v>13</v>
      </c>
      <c r="C25" s="66">
        <v>140000</v>
      </c>
      <c r="D25" s="66" t="s">
        <v>159</v>
      </c>
      <c r="E25" s="66">
        <v>-30</v>
      </c>
      <c r="F25" s="61"/>
      <c r="G25" s="61"/>
      <c r="H25" s="61"/>
      <c r="I25" s="61"/>
      <c r="J25" s="61"/>
    </row>
    <row r="26" spans="2:10" x14ac:dyDescent="0.3">
      <c r="B26" s="66">
        <v>14</v>
      </c>
      <c r="C26" s="66">
        <v>150000</v>
      </c>
      <c r="D26" s="66" t="s">
        <v>159</v>
      </c>
      <c r="E26" s="66">
        <v>30</v>
      </c>
      <c r="F26" s="61"/>
      <c r="G26" s="61"/>
      <c r="H26" s="61"/>
      <c r="I26" s="61"/>
      <c r="J26" s="61"/>
    </row>
    <row r="27" spans="2:10" x14ac:dyDescent="0.3">
      <c r="B27" s="66">
        <v>15</v>
      </c>
      <c r="C27" s="66">
        <v>160000</v>
      </c>
      <c r="D27" s="66" t="s">
        <v>190</v>
      </c>
      <c r="E27" s="66">
        <v>0.5</v>
      </c>
      <c r="F27" s="61"/>
      <c r="G27" s="61"/>
      <c r="H27" s="61"/>
      <c r="I27" s="61"/>
      <c r="J27" s="61"/>
    </row>
    <row r="28" spans="2:10" x14ac:dyDescent="0.3">
      <c r="B28" s="66">
        <v>16</v>
      </c>
      <c r="C28" s="66">
        <v>170000</v>
      </c>
      <c r="D28" s="66" t="s">
        <v>190</v>
      </c>
      <c r="E28" s="66">
        <v>1</v>
      </c>
      <c r="F28" s="61"/>
      <c r="G28" s="61"/>
      <c r="H28" s="61"/>
      <c r="I28" s="61"/>
      <c r="J28" s="61"/>
    </row>
    <row r="29" spans="2:10" x14ac:dyDescent="0.3">
      <c r="B29" s="66">
        <v>17</v>
      </c>
      <c r="C29" s="66">
        <v>180000</v>
      </c>
      <c r="D29" s="66" t="s">
        <v>190</v>
      </c>
      <c r="E29" s="66">
        <v>0.5</v>
      </c>
      <c r="F29" s="61"/>
      <c r="G29" s="61"/>
      <c r="H29" s="61"/>
      <c r="I29" s="61"/>
      <c r="J29" s="61"/>
    </row>
    <row r="30" spans="2:10" x14ac:dyDescent="0.3">
      <c r="B30" s="66">
        <v>18</v>
      </c>
      <c r="C30" s="66">
        <v>190000</v>
      </c>
      <c r="D30" s="66" t="s">
        <v>190</v>
      </c>
      <c r="E30" s="66">
        <v>0.2</v>
      </c>
      <c r="F30" s="61"/>
      <c r="G30" s="61"/>
      <c r="H30" s="61"/>
      <c r="I30" s="61"/>
      <c r="J30" s="61"/>
    </row>
    <row r="31" spans="2:10" x14ac:dyDescent="0.3">
      <c r="B31" s="66">
        <v>19</v>
      </c>
      <c r="C31" s="66">
        <v>200000</v>
      </c>
      <c r="D31" s="66" t="s">
        <v>190</v>
      </c>
      <c r="E31" s="66">
        <v>1</v>
      </c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0529" r:id="rId3" name="CommandButton1">
          <controlPr defaultSize="0" autoLine="0" r:id="rId4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052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6"/>
  <sheetViews>
    <sheetView topLeftCell="A7" workbookViewId="0">
      <selection activeCell="M31" sqref="M31"/>
    </sheetView>
  </sheetViews>
  <sheetFormatPr defaultRowHeight="16.5" x14ac:dyDescent="0.3"/>
  <cols>
    <col min="1" max="1" width="2.375" customWidth="1"/>
    <col min="3" max="3" width="8.125" customWidth="1"/>
    <col min="4" max="4" width="13" customWidth="1"/>
    <col min="5" max="5" width="11.125" bestFit="1" customWidth="1"/>
    <col min="6" max="6" width="9" customWidth="1"/>
    <col min="7" max="7" width="21.25" customWidth="1"/>
    <col min="8" max="8" width="15.625" bestFit="1" customWidth="1"/>
    <col min="9" max="9" width="11.75" customWidth="1"/>
    <col min="11" max="11" width="9" customWidth="1"/>
  </cols>
  <sheetData>
    <row r="1" spans="1:10" s="7" customFormat="1" x14ac:dyDescent="0.25">
      <c r="A1" s="7" t="s">
        <v>33</v>
      </c>
      <c r="D1" s="8"/>
      <c r="E1" s="8"/>
      <c r="F1" s="8"/>
      <c r="G1" s="8"/>
      <c r="H1" s="8"/>
      <c r="I1" s="8"/>
      <c r="J1" s="8"/>
    </row>
    <row r="2" spans="1:10" s="10" customFormat="1" x14ac:dyDescent="0.25">
      <c r="A2" s="9" t="s">
        <v>24</v>
      </c>
      <c r="C2" s="24">
        <f>COUNTA(B12:B981)</f>
        <v>5</v>
      </c>
      <c r="D2" s="11">
        <v>1</v>
      </c>
      <c r="E2" s="11"/>
      <c r="F2" s="11"/>
      <c r="G2" s="11"/>
      <c r="H2" s="11"/>
      <c r="I2" s="12"/>
      <c r="J2" s="12"/>
    </row>
    <row r="3" spans="1:10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</row>
    <row r="4" spans="1:10" s="10" customFormat="1" x14ac:dyDescent="0.25">
      <c r="A4" s="9" t="s">
        <v>32</v>
      </c>
      <c r="C4" s="24">
        <f>COUNTA(B11:J11)</f>
        <v>9</v>
      </c>
      <c r="D4" s="11"/>
      <c r="E4" s="11"/>
      <c r="F4" s="11"/>
      <c r="G4" s="13"/>
      <c r="H4" s="11"/>
      <c r="I4" s="12"/>
      <c r="J4" s="12"/>
    </row>
    <row r="5" spans="1:10" s="10" customFormat="1" x14ac:dyDescent="0.25">
      <c r="A5" s="9" t="s">
        <v>27</v>
      </c>
      <c r="C5" s="24" t="s">
        <v>35</v>
      </c>
      <c r="D5" s="11" t="s">
        <v>51</v>
      </c>
      <c r="E5" s="11"/>
      <c r="F5" s="11"/>
      <c r="G5" s="13"/>
      <c r="H5" s="11"/>
      <c r="I5" s="12"/>
      <c r="J5" s="12"/>
    </row>
    <row r="6" spans="1:10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</row>
    <row r="7" spans="1:10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</row>
    <row r="8" spans="1:10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</row>
    <row r="9" spans="1:10" s="1" customFormat="1" ht="33.75" x14ac:dyDescent="0.3">
      <c r="B9" s="2" t="s">
        <v>73</v>
      </c>
    </row>
    <row r="10" spans="1:10" s="1" customFormat="1" ht="54" x14ac:dyDescent="0.3">
      <c r="B10" s="1" t="s">
        <v>53</v>
      </c>
      <c r="C10" s="1" t="s">
        <v>54</v>
      </c>
      <c r="D10" s="38" t="s">
        <v>58</v>
      </c>
      <c r="E10" s="1" t="s">
        <v>52</v>
      </c>
      <c r="F10" s="1" t="s">
        <v>55</v>
      </c>
      <c r="G10" s="38" t="s">
        <v>59</v>
      </c>
      <c r="H10" s="1" t="s">
        <v>56</v>
      </c>
      <c r="J10" s="1" t="s">
        <v>57</v>
      </c>
    </row>
    <row r="11" spans="1:10" s="1" customFormat="1" ht="27" customHeight="1" x14ac:dyDescent="0.25">
      <c r="B11" s="29" t="s">
        <v>37</v>
      </c>
      <c r="C11" s="30" t="s">
        <v>38</v>
      </c>
      <c r="D11" s="30" t="s">
        <v>39</v>
      </c>
      <c r="E11" s="30" t="s">
        <v>34</v>
      </c>
      <c r="F11" s="30" t="s">
        <v>40</v>
      </c>
      <c r="G11" s="30" t="s">
        <v>81</v>
      </c>
      <c r="H11" s="30" t="s">
        <v>82</v>
      </c>
      <c r="I11" s="30" t="s">
        <v>43</v>
      </c>
      <c r="J11" s="30" t="s">
        <v>44</v>
      </c>
    </row>
    <row r="12" spans="1:10" s="1" customFormat="1" ht="13.5" x14ac:dyDescent="0.3">
      <c r="B12" s="31">
        <v>1</v>
      </c>
      <c r="C12" s="31" t="s">
        <v>45</v>
      </c>
      <c r="D12" s="35">
        <v>1</v>
      </c>
      <c r="E12" s="32">
        <v>42139</v>
      </c>
      <c r="F12" s="31">
        <v>5500</v>
      </c>
      <c r="G12" s="31">
        <v>2</v>
      </c>
      <c r="H12" s="35">
        <v>55</v>
      </c>
      <c r="I12" s="31" t="s">
        <v>36</v>
      </c>
      <c r="J12" s="31" t="s">
        <v>46</v>
      </c>
    </row>
    <row r="13" spans="1:10" x14ac:dyDescent="0.3">
      <c r="B13" s="33">
        <v>2</v>
      </c>
      <c r="C13" s="33" t="s">
        <v>47</v>
      </c>
      <c r="D13" s="36">
        <v>1</v>
      </c>
      <c r="E13" s="34">
        <v>42139</v>
      </c>
      <c r="F13" s="33">
        <v>11000</v>
      </c>
      <c r="G13" s="33">
        <v>2</v>
      </c>
      <c r="H13" s="36">
        <v>110</v>
      </c>
      <c r="I13" s="33" t="s">
        <v>36</v>
      </c>
      <c r="J13" s="33" t="s">
        <v>46</v>
      </c>
    </row>
    <row r="14" spans="1:10" x14ac:dyDescent="0.3">
      <c r="B14" s="33">
        <v>9</v>
      </c>
      <c r="C14" s="33" t="s">
        <v>48</v>
      </c>
      <c r="D14" s="36">
        <v>1</v>
      </c>
      <c r="E14" s="34">
        <v>42139.664230127317</v>
      </c>
      <c r="F14" s="33">
        <v>22000</v>
      </c>
      <c r="G14" s="33">
        <v>2</v>
      </c>
      <c r="H14" s="36">
        <v>230</v>
      </c>
      <c r="I14" s="33" t="s">
        <v>36</v>
      </c>
      <c r="J14" s="33" t="s">
        <v>46</v>
      </c>
    </row>
    <row r="15" spans="1:10" x14ac:dyDescent="0.3">
      <c r="B15" s="33">
        <v>10</v>
      </c>
      <c r="C15" s="33" t="s">
        <v>49</v>
      </c>
      <c r="D15" s="36">
        <v>1</v>
      </c>
      <c r="E15" s="34">
        <v>42139.664573344904</v>
      </c>
      <c r="F15" s="33">
        <v>55000</v>
      </c>
      <c r="G15" s="33">
        <v>2</v>
      </c>
      <c r="H15" s="36">
        <v>600</v>
      </c>
      <c r="I15" s="33" t="s">
        <v>36</v>
      </c>
      <c r="J15" s="33" t="s">
        <v>46</v>
      </c>
    </row>
    <row r="16" spans="1:10" x14ac:dyDescent="0.3">
      <c r="B16" s="33">
        <v>18</v>
      </c>
      <c r="C16" s="33" t="s">
        <v>50</v>
      </c>
      <c r="D16" s="36">
        <v>1</v>
      </c>
      <c r="E16" s="34">
        <v>42139.665577546293</v>
      </c>
      <c r="F16" s="33">
        <v>99000</v>
      </c>
      <c r="G16" s="33">
        <v>2</v>
      </c>
      <c r="H16" s="36">
        <v>1200</v>
      </c>
      <c r="I16" s="33" t="s">
        <v>36</v>
      </c>
      <c r="J16" s="33" t="s">
        <v>46</v>
      </c>
    </row>
    <row r="17" spans="2:10" x14ac:dyDescent="0.25">
      <c r="B17" s="33"/>
      <c r="C17" s="33"/>
      <c r="D17" s="37"/>
      <c r="E17" s="33"/>
      <c r="F17" s="33"/>
      <c r="G17" s="33"/>
      <c r="H17" s="33"/>
      <c r="I17" s="33"/>
      <c r="J17" s="33"/>
    </row>
    <row r="19" spans="2:10" x14ac:dyDescent="0.25">
      <c r="D19" s="26"/>
    </row>
    <row r="20" spans="2:10" x14ac:dyDescent="0.25">
      <c r="E20" s="26"/>
    </row>
    <row r="21" spans="2:10" x14ac:dyDescent="0.25">
      <c r="D21" s="26"/>
    </row>
    <row r="23" spans="2:10" x14ac:dyDescent="0.25">
      <c r="D23" s="26"/>
    </row>
    <row r="25" spans="2:10" x14ac:dyDescent="0.25">
      <c r="D25" s="26"/>
    </row>
    <row r="26" spans="2:10" x14ac:dyDescent="0.25">
      <c r="E26" s="26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1114425</xdr:colOff>
                <xdr:row>5</xdr:row>
                <xdr:rowOff>142875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20"/>
  <sheetViews>
    <sheetView topLeftCell="A4" workbookViewId="0">
      <selection activeCell="M31" sqref="M31"/>
    </sheetView>
  </sheetViews>
  <sheetFormatPr defaultColWidth="9" defaultRowHeight="16.5" x14ac:dyDescent="0.3"/>
  <cols>
    <col min="1" max="1" width="2.375" style="39" customWidth="1"/>
    <col min="2" max="2" width="9" style="39"/>
    <col min="3" max="3" width="25.625" style="39" bestFit="1" customWidth="1"/>
    <col min="4" max="4" width="14.75" style="39" customWidth="1"/>
    <col min="5" max="5" width="17.75" style="39" customWidth="1"/>
    <col min="6" max="6" width="12.875" style="39" customWidth="1"/>
    <col min="7" max="7" width="15.75" style="39" customWidth="1"/>
    <col min="8" max="8" width="13.125" style="39" customWidth="1"/>
    <col min="9" max="10" width="9" style="39"/>
    <col min="11" max="11" width="11.5" style="39" customWidth="1"/>
    <col min="12" max="16384" width="9" style="39"/>
  </cols>
  <sheetData>
    <row r="1" spans="1:11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</row>
    <row r="2" spans="1:11" s="10" customFormat="1" x14ac:dyDescent="0.25">
      <c r="A2" s="9" t="s">
        <v>24</v>
      </c>
      <c r="C2" s="24">
        <f>COUNTA(B12:B981)</f>
        <v>9</v>
      </c>
      <c r="D2" s="11"/>
      <c r="E2" s="11"/>
      <c r="F2" s="11"/>
      <c r="G2" s="11"/>
      <c r="H2" s="11"/>
      <c r="I2" s="12"/>
      <c r="J2" s="12"/>
      <c r="K2" s="12"/>
    </row>
    <row r="3" spans="1:11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</row>
    <row r="4" spans="1:11" s="10" customFormat="1" x14ac:dyDescent="0.25">
      <c r="A4" s="9" t="s">
        <v>32</v>
      </c>
      <c r="C4" s="24">
        <f>COUNTA(B11:K11)</f>
        <v>10</v>
      </c>
      <c r="D4" s="11"/>
      <c r="E4" s="11"/>
      <c r="F4" s="11"/>
      <c r="G4" s="13"/>
      <c r="H4" s="11"/>
      <c r="I4" s="12"/>
      <c r="J4" s="12"/>
      <c r="K4" s="12"/>
    </row>
    <row r="5" spans="1:11" s="10" customFormat="1" x14ac:dyDescent="0.25">
      <c r="A5" s="9" t="s">
        <v>27</v>
      </c>
      <c r="C5" s="24" t="s">
        <v>35</v>
      </c>
      <c r="D5" s="11" t="s">
        <v>75</v>
      </c>
      <c r="E5" s="11"/>
      <c r="F5" s="11"/>
      <c r="G5" s="13"/>
      <c r="H5" s="11"/>
      <c r="I5" s="12"/>
      <c r="J5" s="12"/>
      <c r="K5" s="12"/>
    </row>
    <row r="6" spans="1:11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</row>
    <row r="7" spans="1:11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</row>
    <row r="8" spans="1:11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</row>
    <row r="9" spans="1:11" s="1" customFormat="1" ht="33.75" x14ac:dyDescent="0.3">
      <c r="B9" s="2" t="s">
        <v>74</v>
      </c>
    </row>
    <row r="10" spans="1:11" s="1" customFormat="1" ht="54" x14ac:dyDescent="0.3">
      <c r="B10" s="1" t="s">
        <v>76</v>
      </c>
      <c r="C10" s="1" t="s">
        <v>77</v>
      </c>
      <c r="D10" s="38" t="s">
        <v>83</v>
      </c>
      <c r="E10" s="38" t="s">
        <v>84</v>
      </c>
      <c r="F10" s="38" t="s">
        <v>59</v>
      </c>
      <c r="G10" s="1" t="s">
        <v>56</v>
      </c>
      <c r="H10" s="38" t="s">
        <v>78</v>
      </c>
      <c r="I10" s="1" t="s">
        <v>79</v>
      </c>
      <c r="J10" s="1" t="s">
        <v>80</v>
      </c>
      <c r="K10" s="1" t="s">
        <v>52</v>
      </c>
    </row>
    <row r="11" spans="1:11" s="1" customFormat="1" ht="27" customHeight="1" thickBot="1" x14ac:dyDescent="0.3">
      <c r="B11" s="5" t="s">
        <v>60</v>
      </c>
      <c r="C11" s="6" t="s">
        <v>61</v>
      </c>
      <c r="D11" s="6" t="s">
        <v>62</v>
      </c>
      <c r="E11" s="6" t="s">
        <v>63</v>
      </c>
      <c r="F11" s="6" t="s">
        <v>41</v>
      </c>
      <c r="G11" s="6" t="s">
        <v>42</v>
      </c>
      <c r="H11" s="6" t="s">
        <v>43</v>
      </c>
      <c r="I11" s="6" t="s">
        <v>64</v>
      </c>
      <c r="J11" s="6" t="s">
        <v>65</v>
      </c>
      <c r="K11" s="6" t="s">
        <v>34</v>
      </c>
    </row>
    <row r="12" spans="1:11" s="1" customFormat="1" ht="13.5" x14ac:dyDescent="0.3">
      <c r="B12" s="3">
        <v>1</v>
      </c>
      <c r="C12" s="4" t="s">
        <v>66</v>
      </c>
      <c r="D12" s="4">
        <v>1000</v>
      </c>
      <c r="E12" s="4">
        <v>1100</v>
      </c>
      <c r="F12" s="4">
        <v>1</v>
      </c>
      <c r="G12" s="27">
        <v>60000000000</v>
      </c>
      <c r="H12" s="4" t="s">
        <v>36</v>
      </c>
      <c r="I12" s="4">
        <v>1</v>
      </c>
      <c r="J12" s="4">
        <v>11</v>
      </c>
      <c r="K12" s="40">
        <v>42235</v>
      </c>
    </row>
    <row r="13" spans="1:11" x14ac:dyDescent="0.3">
      <c r="B13" s="39">
        <v>2</v>
      </c>
      <c r="C13" s="39" t="s">
        <v>67</v>
      </c>
      <c r="D13" s="4">
        <v>1000</v>
      </c>
      <c r="E13" s="4">
        <v>1100</v>
      </c>
      <c r="F13" s="39">
        <v>1</v>
      </c>
      <c r="G13" s="28">
        <v>300000000000</v>
      </c>
      <c r="H13" s="39" t="s">
        <v>36</v>
      </c>
      <c r="I13" s="39">
        <v>5</v>
      </c>
      <c r="J13" s="39">
        <v>55</v>
      </c>
      <c r="K13" s="25">
        <v>42235</v>
      </c>
    </row>
    <row r="14" spans="1:11" x14ac:dyDescent="0.3">
      <c r="B14" s="39">
        <v>3</v>
      </c>
      <c r="C14" s="39" t="s">
        <v>68</v>
      </c>
      <c r="D14" s="4">
        <v>1000</v>
      </c>
      <c r="E14" s="4">
        <v>1100</v>
      </c>
      <c r="F14" s="39">
        <v>1</v>
      </c>
      <c r="G14" s="28">
        <v>550000000000</v>
      </c>
      <c r="H14" s="39" t="s">
        <v>36</v>
      </c>
      <c r="I14" s="39">
        <v>10</v>
      </c>
      <c r="J14" s="39">
        <v>100</v>
      </c>
      <c r="K14" s="25">
        <v>42235</v>
      </c>
    </row>
    <row r="15" spans="1:11" x14ac:dyDescent="0.3">
      <c r="B15" s="39">
        <v>11</v>
      </c>
      <c r="C15" s="39" t="s">
        <v>69</v>
      </c>
      <c r="D15" s="4">
        <v>1000</v>
      </c>
      <c r="E15" s="39">
        <v>1200</v>
      </c>
      <c r="F15" s="39">
        <v>1</v>
      </c>
      <c r="G15" s="28">
        <v>60000000000</v>
      </c>
      <c r="H15" s="39" t="s">
        <v>36</v>
      </c>
      <c r="I15" s="39">
        <v>5</v>
      </c>
      <c r="J15" s="39">
        <v>11</v>
      </c>
      <c r="K15" s="25">
        <v>42235.711237071759</v>
      </c>
    </row>
    <row r="16" spans="1:11" x14ac:dyDescent="0.3">
      <c r="B16" s="39">
        <v>12</v>
      </c>
      <c r="C16" s="39" t="s">
        <v>69</v>
      </c>
      <c r="D16" s="4">
        <v>1000</v>
      </c>
      <c r="E16" s="39">
        <v>1200</v>
      </c>
      <c r="F16" s="39">
        <v>1</v>
      </c>
      <c r="G16" s="28">
        <v>300000000000</v>
      </c>
      <c r="H16" s="39" t="s">
        <v>36</v>
      </c>
      <c r="I16" s="39">
        <v>5</v>
      </c>
      <c r="J16" s="39">
        <v>55</v>
      </c>
      <c r="K16" s="25">
        <v>42235.71165355324</v>
      </c>
    </row>
    <row r="17" spans="2:11" x14ac:dyDescent="0.3">
      <c r="B17" s="39">
        <v>13</v>
      </c>
      <c r="C17" s="39" t="s">
        <v>70</v>
      </c>
      <c r="D17" s="4">
        <v>1000</v>
      </c>
      <c r="E17" s="39">
        <v>1200</v>
      </c>
      <c r="F17" s="39">
        <v>1</v>
      </c>
      <c r="G17" s="28">
        <v>550000000000</v>
      </c>
      <c r="H17" s="39" t="s">
        <v>36</v>
      </c>
      <c r="I17" s="39">
        <v>10</v>
      </c>
      <c r="J17" s="39">
        <v>100</v>
      </c>
      <c r="K17" s="25">
        <v>42235.711889618055</v>
      </c>
    </row>
    <row r="18" spans="2:11" x14ac:dyDescent="0.3">
      <c r="B18" s="39">
        <v>101</v>
      </c>
      <c r="C18" s="39" t="s">
        <v>71</v>
      </c>
      <c r="D18" s="39">
        <v>2000</v>
      </c>
      <c r="E18" s="39">
        <v>2100</v>
      </c>
      <c r="F18" s="39">
        <v>1</v>
      </c>
      <c r="G18" s="28">
        <v>60000000000</v>
      </c>
      <c r="H18" s="39" t="s">
        <v>36</v>
      </c>
      <c r="I18" s="39">
        <v>1</v>
      </c>
      <c r="J18" s="39">
        <v>11</v>
      </c>
      <c r="K18" s="25">
        <v>42235.71223946759</v>
      </c>
    </row>
    <row r="19" spans="2:11" x14ac:dyDescent="0.3">
      <c r="B19" s="39">
        <v>102</v>
      </c>
      <c r="C19" s="39" t="s">
        <v>72</v>
      </c>
      <c r="D19" s="39">
        <v>2000</v>
      </c>
      <c r="E19" s="39">
        <v>2100</v>
      </c>
      <c r="F19" s="39">
        <v>1</v>
      </c>
      <c r="G19" s="28">
        <v>300000000000</v>
      </c>
      <c r="H19" s="39" t="s">
        <v>36</v>
      </c>
      <c r="I19" s="39">
        <v>10</v>
      </c>
      <c r="J19" s="39">
        <v>55</v>
      </c>
      <c r="K19" s="25">
        <v>42235.712505706018</v>
      </c>
    </row>
    <row r="20" spans="2:11" x14ac:dyDescent="0.3">
      <c r="B20" s="39">
        <v>103</v>
      </c>
      <c r="C20" s="39" t="s">
        <v>72</v>
      </c>
      <c r="D20" s="39">
        <v>2000</v>
      </c>
      <c r="E20" s="39">
        <v>2100</v>
      </c>
      <c r="F20" s="39">
        <v>1</v>
      </c>
      <c r="G20" s="28">
        <v>550000000000</v>
      </c>
      <c r="H20" s="39" t="s">
        <v>36</v>
      </c>
      <c r="I20" s="39">
        <v>10</v>
      </c>
      <c r="J20" s="39">
        <v>100</v>
      </c>
      <c r="K20" s="25">
        <v>42235.712697106479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819150</xdr:colOff>
                <xdr:row>5</xdr:row>
                <xdr:rowOff>142875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Base</vt:lpstr>
      <vt:lpstr>message_table</vt:lpstr>
      <vt:lpstr>Effect table</vt:lpstr>
      <vt:lpstr>Effect list</vt:lpstr>
      <vt:lpstr>Unity_Camera_Test</vt:lpstr>
      <vt:lpstr>Unity_Camera_Test (2)</vt:lpstr>
      <vt:lpstr>Unity_Camera_Test (3)</vt:lpstr>
      <vt:lpstr>상점_루비</vt:lpstr>
      <vt:lpstr>상점_아이템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 Data CSV Export</dc:title>
  <dc:creator>Lejail</dc:creator>
  <cp:lastModifiedBy>4DReplay</cp:lastModifiedBy>
  <cp:lastPrinted>2020-07-07T08:09:29Z</cp:lastPrinted>
  <dcterms:created xsi:type="dcterms:W3CDTF">2012-08-20T08:18:47Z</dcterms:created>
  <dcterms:modified xsi:type="dcterms:W3CDTF">2020-07-13T01:25:07Z</dcterms:modified>
</cp:coreProperties>
</file>